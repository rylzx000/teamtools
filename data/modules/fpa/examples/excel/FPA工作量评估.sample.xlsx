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80" tabRatio="600" firstSheet="0" activeTab="0" autoFilterDateGrouping="1"/>
  </bookViews>
  <sheets>
    <sheet xmlns:r="http://schemas.openxmlformats.org/officeDocument/2006/relationships" name="项目特征" sheetId="1" state="visible" r:id="rId1"/>
    <sheet xmlns:r="http://schemas.openxmlformats.org/officeDocument/2006/relationships" name="规模估算" sheetId="2" state="visible" r:id="rId2"/>
    <sheet xmlns:r="http://schemas.openxmlformats.org/officeDocument/2006/relationships" name="开发费用估算" sheetId="3" state="visible" r:id="rId3"/>
    <sheet xmlns:r="http://schemas.openxmlformats.org/officeDocument/2006/relationships" name="模板使用说明&amp;基础参数" sheetId="4" state="visible" r:id="rId4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_ "/>
    <numFmt numFmtId="165" formatCode="0.00_);[Red]\(0.00\)"/>
    <numFmt numFmtId="166" formatCode="0.000_);[Red]\(0.000\)"/>
    <numFmt numFmtId="167" formatCode="0.0000_);[Red]\(0.0000\)"/>
    <numFmt numFmtId="168" formatCode="0_ "/>
    <numFmt numFmtId="169" formatCode="0.0_ "/>
    <numFmt numFmtId="170" formatCode="0.0_);[Red]\(0.0\)"/>
  </numFmts>
  <fonts count="32">
    <font>
      <name val="等线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134"/>
      <sz val="11"/>
    </font>
    <font>
      <name val="等线"/>
      <charset val="134"/>
      <color rgb="FF000000"/>
      <sz val="11"/>
      <scheme val="minor"/>
    </font>
    <font>
      <name val="宋体"/>
      <charset val="134"/>
      <color rgb="FFFF0000"/>
      <sz val="11"/>
    </font>
    <font>
      <name val="宋体"/>
      <charset val="134"/>
      <b val="1"/>
      <color theme="3"/>
      <sz val="11"/>
    </font>
    <font>
      <name val="宋体"/>
      <charset val="134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10"/>
      <sz val="11"/>
    </font>
    <font>
      <name val="宋体"/>
      <charset val="134"/>
      <i val="1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9"/>
    </font>
  </fonts>
  <fills count="42">
    <fill>
      <patternFill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853511154515"/>
        <bgColor indexed="64"/>
      </patternFill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</borders>
  <cellStyleXfs count="54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12" borderId="1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5" applyAlignment="1">
      <alignment vertical="center"/>
    </xf>
    <xf numFmtId="0" fontId="17" fillId="0" borderId="15" applyAlignment="1">
      <alignment vertical="center"/>
    </xf>
    <xf numFmtId="0" fontId="18" fillId="0" borderId="16" applyAlignment="1">
      <alignment vertical="center"/>
    </xf>
    <xf numFmtId="0" fontId="18" fillId="0" borderId="0" applyAlignment="1">
      <alignment vertical="center"/>
    </xf>
    <xf numFmtId="0" fontId="19" fillId="13" borderId="17" applyAlignment="1">
      <alignment vertical="center"/>
    </xf>
    <xf numFmtId="0" fontId="20" fillId="14" borderId="18" applyAlignment="1">
      <alignment vertical="center"/>
    </xf>
    <xf numFmtId="0" fontId="21" fillId="14" borderId="17" applyAlignment="1">
      <alignment vertical="center"/>
    </xf>
    <xf numFmtId="0" fontId="22" fillId="15" borderId="19" applyAlignment="1">
      <alignment vertical="center"/>
    </xf>
    <xf numFmtId="0" fontId="23" fillId="0" borderId="20" applyAlignment="1">
      <alignment vertical="center"/>
    </xf>
    <xf numFmtId="0" fontId="24" fillId="0" borderId="21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28" fillId="26" borderId="0" applyAlignment="1">
      <alignment vertical="center"/>
    </xf>
    <xf numFmtId="0" fontId="28" fillId="10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9" fillId="35" borderId="0" applyAlignment="1">
      <alignment vertical="center"/>
    </xf>
    <xf numFmtId="0" fontId="29" fillId="36" borderId="0" applyAlignment="1">
      <alignment vertical="center"/>
    </xf>
    <xf numFmtId="0" fontId="28" fillId="37" borderId="0" applyAlignment="1">
      <alignment vertical="center"/>
    </xf>
    <xf numFmtId="0" fontId="28" fillId="38" borderId="0" applyAlignment="1">
      <alignment vertical="center"/>
    </xf>
    <xf numFmtId="0" fontId="29" fillId="39" borderId="0" applyAlignment="1">
      <alignment vertical="center"/>
    </xf>
    <xf numFmtId="0" fontId="29" fillId="40" borderId="0" applyAlignment="1">
      <alignment vertical="center"/>
    </xf>
    <xf numFmtId="0" fontId="28" fillId="41" borderId="0" applyAlignment="1">
      <alignment vertical="center"/>
    </xf>
    <xf numFmtId="0" fontId="30" fillId="0" borderId="0" applyAlignment="1">
      <alignment vertical="center"/>
    </xf>
    <xf numFmtId="0" fontId="7" fillId="0" borderId="0" applyAlignment="1">
      <alignment vertical="center"/>
    </xf>
    <xf numFmtId="0" fontId="0" fillId="0" borderId="0" applyAlignment="1">
      <alignment vertical="center"/>
    </xf>
    <xf numFmtId="0" fontId="31" fillId="0" borderId="0" applyAlignment="1">
      <alignment vertical="center"/>
    </xf>
    <xf numFmtId="43" fontId="7" fillId="0" borderId="0" applyAlignment="1">
      <alignment vertical="center"/>
    </xf>
  </cellStyleXfs>
  <cellXfs count="1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3" applyAlignment="1" pivotButton="0" quotePrefix="0" xfId="51">
      <alignment horizontal="center" vertical="center"/>
    </xf>
    <xf numFmtId="164" fontId="1" fillId="4" borderId="3" applyAlignment="1" pivotButton="0" quotePrefix="0" xfId="51">
      <alignment horizontal="center" vertical="center"/>
    </xf>
    <xf numFmtId="0" fontId="3" fillId="5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/>
    </xf>
    <xf numFmtId="0" fontId="2" fillId="3" borderId="3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justify" vertical="center" wrapText="1"/>
    </xf>
    <xf numFmtId="10" fontId="1" fillId="4" borderId="3" applyAlignment="1" pivotButton="0" quotePrefix="0" xfId="0">
      <alignment horizontal="justify" vertical="center" wrapText="1"/>
    </xf>
    <xf numFmtId="0" fontId="1" fillId="4" borderId="3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center" vertical="center"/>
    </xf>
    <xf numFmtId="164" fontId="1" fillId="4" borderId="3" applyAlignment="1" pivotButton="0" quotePrefix="0" xfId="0">
      <alignment horizontal="center" vertical="center" wrapText="1"/>
    </xf>
    <xf numFmtId="164" fontId="1" fillId="4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5" fontId="1" fillId="5" borderId="3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5" fontId="2" fillId="5" borderId="3" applyAlignment="1" pivotButton="0" quotePrefix="0" xfId="0">
      <alignment vertical="center"/>
    </xf>
    <xf numFmtId="0" fontId="1" fillId="4" borderId="3" applyAlignment="1" pivotButton="0" quotePrefix="0" xfId="0">
      <alignment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165" fontId="1" fillId="4" borderId="3" applyAlignment="1" pivotButton="0" quotePrefix="0" xfId="0">
      <alignment vertical="center"/>
    </xf>
    <xf numFmtId="0" fontId="1" fillId="2" borderId="6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6" fontId="1" fillId="5" borderId="3" applyAlignment="1" pivotButton="0" quotePrefix="0" xfId="0">
      <alignment vertical="center"/>
    </xf>
    <xf numFmtId="165" fontId="5" fillId="5" borderId="3" applyAlignment="1" pivotButton="0" quotePrefix="0" xfId="0">
      <alignment vertical="center"/>
    </xf>
    <xf numFmtId="165" fontId="6" fillId="5" borderId="3" applyAlignment="1" pivotButton="0" quotePrefix="0" xfId="0">
      <alignment vertical="center"/>
    </xf>
    <xf numFmtId="167" fontId="1" fillId="4" borderId="3" applyAlignment="1" pivotButton="0" quotePrefix="0" xfId="0">
      <alignment vertical="center"/>
    </xf>
    <xf numFmtId="0" fontId="2" fillId="2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2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9" fillId="2" borderId="12" applyAlignment="1" pivotButton="0" quotePrefix="0" xfId="0">
      <alignment horizontal="left" vertical="center" wrapText="1"/>
    </xf>
    <xf numFmtId="0" fontId="9" fillId="2" borderId="3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168" fontId="8" fillId="7" borderId="3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3" fillId="0" borderId="3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0" fillId="2" borderId="12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0" fontId="9" fillId="2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5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168" fontId="1" fillId="5" borderId="3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3" applyAlignment="1" pivotButton="0" quotePrefix="0" xfId="0">
      <alignment vertical="center" wrapText="1"/>
    </xf>
    <xf numFmtId="0" fontId="1" fillId="6" borderId="3" applyAlignment="1" pivotButton="0" quotePrefix="0" xfId="0">
      <alignment horizontal="center" vertical="center"/>
    </xf>
    <xf numFmtId="164" fontId="1" fillId="5" borderId="3" applyAlignment="1" pivotButton="0" quotePrefix="0" xfId="0">
      <alignment horizontal="center" vertical="center"/>
    </xf>
    <xf numFmtId="0" fontId="2" fillId="9" borderId="3" applyAlignment="1" pivotButton="0" quotePrefix="0" xfId="0">
      <alignment horizontal="center" vertical="center"/>
    </xf>
    <xf numFmtId="169" fontId="1" fillId="5" borderId="3" applyAlignment="1" pivotButton="0" quotePrefix="0" xfId="0">
      <alignment horizontal="center" vertical="center"/>
    </xf>
    <xf numFmtId="0" fontId="1" fillId="10" borderId="3" applyAlignment="1" pivotButton="0" quotePrefix="0" xfId="0">
      <alignment horizontal="left" vertical="center"/>
    </xf>
    <xf numFmtId="0" fontId="1" fillId="11" borderId="3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left" vertical="center" wrapText="1"/>
    </xf>
    <xf numFmtId="0" fontId="2" fillId="2" borderId="11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left" vertical="center"/>
    </xf>
    <xf numFmtId="170" fontId="1" fillId="5" borderId="3" applyAlignment="1" pivotButton="0" quotePrefix="0" xfId="0">
      <alignment horizontal="center" vertical="center"/>
    </xf>
    <xf numFmtId="165" fontId="1" fillId="5" borderId="3" applyAlignment="1" pivotButton="0" quotePrefix="0" xfId="0">
      <alignment horizontal="center" vertical="center"/>
    </xf>
    <xf numFmtId="0" fontId="0" fillId="0" borderId="2" pivotButton="0" quotePrefix="0" xfId="0"/>
    <xf numFmtId="164" fontId="1" fillId="5" borderId="3" applyAlignment="1" pivotButton="0" quotePrefix="0" xfId="0">
      <alignment horizontal="center" vertical="center"/>
    </xf>
    <xf numFmtId="169" fontId="1" fillId="5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 wrapText="1"/>
    </xf>
    <xf numFmtId="168" fontId="1" fillId="5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170" fontId="1" fillId="5" borderId="3" applyAlignment="1" pivotButton="0" quotePrefix="0" xfId="0">
      <alignment horizontal="center" vertical="center"/>
    </xf>
    <xf numFmtId="165" fontId="1" fillId="5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2" pivotButton="0" quotePrefix="0" xfId="0"/>
    <xf numFmtId="168" fontId="8" fillId="7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164" fontId="1" fillId="5" borderId="3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/>
    </xf>
    <xf numFmtId="165" fontId="1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5" fontId="1" fillId="4" borderId="3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0" applyAlignment="1" pivotButton="0" quotePrefix="0" xfId="0">
      <alignment vertical="center"/>
    </xf>
    <xf numFmtId="166" fontId="1" fillId="5" borderId="3" applyAlignment="1" pivotButton="0" quotePrefix="0" xfId="0">
      <alignment vertical="center"/>
    </xf>
    <xf numFmtId="165" fontId="5" fillId="5" borderId="3" applyAlignment="1" pivotButton="0" quotePrefix="0" xfId="0">
      <alignment vertical="center"/>
    </xf>
    <xf numFmtId="165" fontId="6" fillId="5" borderId="3" applyAlignment="1" pivotButton="0" quotePrefix="0" xfId="0">
      <alignment vertical="center"/>
    </xf>
    <xf numFmtId="167" fontId="1" fillId="4" borderId="3" applyAlignment="1" pivotButton="0" quotePrefix="0" xfId="0">
      <alignment vertical="center"/>
    </xf>
    <xf numFmtId="0" fontId="2" fillId="3" borderId="3" applyAlignment="1" pivotButton="0" quotePrefix="0" xfId="0">
      <alignment horizontal="center" vertical="center"/>
    </xf>
    <xf numFmtId="164" fontId="1" fillId="4" borderId="3" applyAlignment="1" pivotButton="0" quotePrefix="0" xfId="51">
      <alignment horizontal="center" vertical="center"/>
    </xf>
    <xf numFmtId="164" fontId="1" fillId="4" borderId="3" applyAlignment="1" pivotButton="0" quotePrefix="0" xfId="0">
      <alignment horizontal="center" vertical="center" wrapText="1"/>
    </xf>
    <xf numFmtId="164" fontId="1" fillId="4" borderId="3" applyAlignment="1" pivotButton="0" quotePrefix="0" xfId="0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36 2" xfId="50"/>
    <cellStyle name="常规 3" xfId="51"/>
    <cellStyle name="常规_Sheet1_1" xfId="52"/>
    <cellStyle name="千位分隔 2 2 2 2" xfId="5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F10" sqref="F10"/>
    </sheetView>
  </sheetViews>
  <sheetFormatPr baseColWidth="8" defaultColWidth="9" defaultRowHeight="14"/>
  <cols>
    <col width="11.3333333333333" customWidth="1" style="1" min="1" max="1"/>
    <col width="10.8333333333333" customWidth="1" style="1" min="2" max="2"/>
    <col width="40.75" customWidth="1" style="1" min="3" max="3"/>
    <col width="10.75" customWidth="1" style="9" min="4" max="4"/>
    <col width="11.9166666666667" customWidth="1" style="1" min="5" max="5"/>
    <col width="48.75" customWidth="1" style="1" min="6" max="6"/>
    <col width="9" customWidth="1" style="1" min="7" max="16384"/>
  </cols>
  <sheetData>
    <row r="1">
      <c r="A1" s="92" t="inlineStr">
        <is>
          <t>规模计数时机</t>
        </is>
      </c>
      <c r="B1" s="96" t="n"/>
      <c r="C1" s="81" t="inlineStr">
        <is>
          <t>估算早期</t>
        </is>
      </c>
      <c r="D1" s="97">
        <f>IF(项目特征!C1='模板使用说明&amp;基础参数'!H50,'模板使用说明&amp;基础参数'!I50,IF(项目特征!C1='模板使用说明&amp;基础参数'!H51,'模板使用说明&amp;基础参数'!I51,IF(项目特征!C1='模板使用说明&amp;基础参数'!H52,'模板使用说明&amp;基础参数'!I52,IF(项目特征!C1='模板使用说明&amp;基础参数'!H53,'模板使用说明&amp;基础参数'!I53,1))))</f>
        <v/>
      </c>
      <c r="F1" s="83" t="inlineStr">
        <is>
          <t>开发平台为（低代码开发）需填写此表格下拉选项</t>
        </is>
      </c>
      <c r="G1" s="83" t="inlineStr">
        <is>
          <t>下拉选项</t>
        </is>
      </c>
    </row>
    <row r="2">
      <c r="A2" s="92" t="inlineStr">
        <is>
          <t>应用类型</t>
        </is>
      </c>
      <c r="B2" s="96" t="n"/>
      <c r="C2" s="81" t="inlineStr">
        <is>
          <t>业务处理</t>
        </is>
      </c>
      <c r="D2" s="98">
        <f>VLOOKUP($C$2,'模板使用说明&amp;基础参数'!$G$9:$I$16,3,FALSE)</f>
        <v/>
      </c>
      <c r="F2" s="85" t="inlineStr">
        <is>
          <t>智能助手开发</t>
        </is>
      </c>
      <c r="G2" s="86" t="n"/>
    </row>
    <row r="3" ht="28" customHeight="1">
      <c r="A3" s="99" t="inlineStr">
        <is>
          <t>非功能性
特征</t>
        </is>
      </c>
      <c r="B3" s="88" t="inlineStr">
        <is>
          <t>分布式处理</t>
        </is>
      </c>
      <c r="C3" s="89" t="inlineStr">
        <is>
          <t>通过网络进行客户端/服务器及网络基础计算机系统分布处理和传输</t>
        </is>
      </c>
      <c r="D3" s="100">
        <f>IF(C3='模板使用说明&amp;基础参数'!H19,'模板使用说明&amp;基础参数'!I19,IF(C3='模板使用说明&amp;基础参数'!H20,'模板使用说明&amp;基础参数'!I20,IF(C3='模板使用说明&amp;基础参数'!H21,'模板使用说明&amp;基础参数'!I21,0)))</f>
        <v/>
      </c>
      <c r="F3" s="85" t="inlineStr">
        <is>
          <t>数据工厂开发</t>
        </is>
      </c>
      <c r="G3" s="86" t="n"/>
    </row>
    <row r="4" ht="28" customHeight="1">
      <c r="A4" s="101" t="n"/>
      <c r="B4" s="88" t="inlineStr">
        <is>
          <t>性能</t>
        </is>
      </c>
      <c r="C4" s="89" t="inlineStr">
        <is>
          <t>为满足性能需求事项，要求设计阶段进行性能分析，或在设计、开发阶段使用分析工具</t>
        </is>
      </c>
      <c r="D4" s="100">
        <f>IF(C4='模板使用说明&amp;基础参数'!H22,'模板使用说明&amp;基础参数'!I22,IF(C4='模板使用说明&amp;基础参数'!H23,'模板使用说明&amp;基础参数'!I23,IF(C4='模板使用说明&amp;基础参数'!H24,'模板使用说明&amp;基础参数'!I24,0)))</f>
        <v/>
      </c>
      <c r="F4" s="85" t="inlineStr">
        <is>
          <t>聚合表</t>
        </is>
      </c>
      <c r="G4" s="86" t="n"/>
    </row>
    <row r="5" ht="28" customHeight="1">
      <c r="A5" s="101" t="n"/>
      <c r="B5" s="88" t="inlineStr">
        <is>
          <t>可靠性</t>
        </is>
      </c>
      <c r="C5" s="89" t="inlineStr">
        <is>
          <t>发生故障时可轻易修复，带来一定不便或经济损失</t>
        </is>
      </c>
      <c r="D5" s="100">
        <f>IF(C5='模板使用说明&amp;基础参数'!H25,'模板使用说明&amp;基础参数'!I25,IF(C5='模板使用说明&amp;基础参数'!H26,'模板使用说明&amp;基础参数'!I26,IF(C5='模板使用说明&amp;基础参数'!H27,'模板使用说明&amp;基础参数'!I27,0)))</f>
        <v/>
      </c>
      <c r="F5" s="85" t="inlineStr">
        <is>
          <t>自定义前端组件/插件开发</t>
        </is>
      </c>
      <c r="G5" s="86" t="n"/>
    </row>
    <row r="6">
      <c r="A6" s="102" t="n"/>
      <c r="B6" s="88" t="inlineStr">
        <is>
          <t>多重站点</t>
        </is>
      </c>
      <c r="C6" s="89" t="inlineStr">
        <is>
          <t>在用途类似的硬件或软件环境下运行</t>
        </is>
      </c>
      <c r="D6" s="100">
        <f>IF(C6='模板使用说明&amp;基础参数'!H28,'模板使用说明&amp;基础参数'!I28,IF(C6='模板使用说明&amp;基础参数'!H29,'模板使用说明&amp;基础参数'!I29,IF(C6='模板使用说明&amp;基础参数'!H30,'模板使用说明&amp;基础参数'!I30,0)))</f>
        <v/>
      </c>
      <c r="F6" s="85" t="inlineStr">
        <is>
          <t>与外部系统对接且需封装中间件</t>
        </is>
      </c>
      <c r="G6" s="86" t="n"/>
    </row>
    <row r="7" ht="28" customHeight="1">
      <c r="A7" s="92" t="inlineStr">
        <is>
          <t>完整性级别</t>
        </is>
      </c>
      <c r="B7" s="96" t="n"/>
      <c r="C7" s="89" t="inlineStr">
        <is>
          <t>完整性级别为A同时为达成完整性级别要求在软件开发全生命周期均采取了特定、明确的措施</t>
        </is>
      </c>
      <c r="D7" s="98">
        <f>IF(C7='模板使用说明&amp;基础参数'!H45,'模板使用说明&amp;基础参数'!I45,IF(C7='模板使用说明&amp;基础参数'!H46,'模板使用说明&amp;基础参数'!I46,IF(C7='模板使用说明&amp;基础参数'!H47,'模板使用说明&amp;基础参数'!I47,1)))</f>
        <v/>
      </c>
      <c r="F7" s="85" t="inlineStr">
        <is>
          <t>原始数据无法直接使用需编写SQL</t>
        </is>
      </c>
      <c r="G7" s="86" t="n"/>
    </row>
    <row r="8">
      <c r="A8" s="92" t="inlineStr">
        <is>
          <t>开发语言</t>
        </is>
      </c>
      <c r="B8" s="96" t="n"/>
      <c r="C8" s="93" t="inlineStr">
        <is>
          <t>JAVA、C++、C#及其他同级别语言/平台</t>
        </is>
      </c>
      <c r="D8" s="103">
        <f>IF(C8='模板使用说明&amp;基础参数'!H34,'模板使用说明&amp;基础参数'!I34,IF(C8='模板使用说明&amp;基础参数'!H35,'模板使用说明&amp;基础参数'!I35,IF(C8='模板使用说明&amp;基础参数'!H36,'模板使用说明&amp;基础参数'!I36,1)))</f>
        <v/>
      </c>
    </row>
    <row r="9">
      <c r="A9" s="92" t="inlineStr">
        <is>
          <t>开发团队背景</t>
        </is>
      </c>
      <c r="B9" s="96" t="n"/>
      <c r="C9" s="89" t="inlineStr">
        <is>
          <t>为本行业开发过类似的项目</t>
        </is>
      </c>
      <c r="D9" s="103">
        <f>IF(C9='模板使用说明&amp;基础参数'!H40,'模板使用说明&amp;基础参数'!I40,IF(C9='模板使用说明&amp;基础参数'!H41,'模板使用说明&amp;基础参数'!I41,IF(C9='模板使用说明&amp;基础参数'!H42,'模板使用说明&amp;基础参数'!I42,1)))</f>
        <v/>
      </c>
    </row>
    <row r="10">
      <c r="A10" s="92" t="inlineStr">
        <is>
          <t>开发平台</t>
        </is>
      </c>
      <c r="B10" s="96" t="n"/>
      <c r="C10" s="89" t="inlineStr">
        <is>
          <t>常规开发</t>
        </is>
      </c>
      <c r="D10" s="104">
        <f t="array" ref="D10">IF(C10='模板使用说明&amp;基础参数'!H56,'模板使用说明&amp;基础参数'!I56,IF(C10='模板使用说明&amp;基础参数'!H57,'模板使用说明&amp;基础参数'!I57,1))+IF(C10='模板使用说明&amp;基础参数'!H57,SUM(IF(G2:G7="是",0.05,0)),0)</f>
        <v/>
      </c>
    </row>
  </sheetData>
  <mergeCells count="7">
    <mergeCell ref="A2:B2"/>
    <mergeCell ref="A7:B7"/>
    <mergeCell ref="A10:B10"/>
    <mergeCell ref="A3:A6"/>
    <mergeCell ref="A1:B1"/>
    <mergeCell ref="A9:B9"/>
    <mergeCell ref="A8:B8"/>
  </mergeCells>
  <dataValidations count="11">
    <dataValidation sqref="C1" showDropDown="0" showInputMessage="1" showErrorMessage="1" allowBlank="1" type="list">
      <formula1>'模板使用说明&amp;基础参数'!$H$50:$H$53</formula1>
    </dataValidation>
    <dataValidation sqref="C2" showDropDown="0" showInputMessage="1" showErrorMessage="1" allowBlank="1" type="list">
      <formula1>'模板使用说明&amp;基础参数'!$G$10:$G$16</formula1>
    </dataValidation>
    <dataValidation sqref="C3" showDropDown="0" showInputMessage="1" showErrorMessage="1" allowBlank="1" type="list">
      <formula1>'模板使用说明&amp;基础参数'!$H$19:$H$21</formula1>
    </dataValidation>
    <dataValidation sqref="C4" showDropDown="0" showInputMessage="1" showErrorMessage="1" allowBlank="1" type="list">
      <formula1>'模板使用说明&amp;基础参数'!$H$22:$H$24</formula1>
    </dataValidation>
    <dataValidation sqref="C5" showDropDown="0" showInputMessage="1" showErrorMessage="1" allowBlank="1" type="list">
      <formula1>'模板使用说明&amp;基础参数'!$H$25:$H$27</formula1>
    </dataValidation>
    <dataValidation sqref="C6" showDropDown="0" showInputMessage="1" showErrorMessage="1" allowBlank="1" type="list">
      <formula1>'模板使用说明&amp;基础参数'!$H$28:$H$30</formula1>
    </dataValidation>
    <dataValidation sqref="C7" showDropDown="0" showInputMessage="1" showErrorMessage="1" allowBlank="1" type="list">
      <formula1>'模板使用说明&amp;基础参数'!$H$45:$H$47</formula1>
    </dataValidation>
    <dataValidation sqref="C8" showDropDown="0" showInputMessage="1" showErrorMessage="1" allowBlank="1" type="list">
      <formula1>'模板使用说明&amp;基础参数'!$H$34:$H$36</formula1>
    </dataValidation>
    <dataValidation sqref="C9" showDropDown="0" showInputMessage="1" showErrorMessage="1" allowBlank="1" type="list">
      <formula1>'模板使用说明&amp;基础参数'!$H$40:$H$42</formula1>
    </dataValidation>
    <dataValidation sqref="C10" showDropDown="0" showInputMessage="1" showErrorMessage="1" allowBlank="1" type="list">
      <formula1>'模板使用说明&amp;基础参数'!$H$56:$H$57</formula1>
    </dataValidation>
    <dataValidation sqref="G2:G7" showDropDown="0" showInputMessage="1" showErrorMessage="1" allowBlank="1" type="list">
      <formula1>'模板使用说明&amp;基础参数'!$D$29:$D$30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5" topLeftCell="A6" activePane="bottomLeft" state="frozen"/>
      <selection activeCell="A1" sqref="A1"/>
      <selection pane="bottomLeft" activeCell="F11" sqref="F11"/>
    </sheetView>
  </sheetViews>
  <sheetFormatPr baseColWidth="8" defaultColWidth="9" defaultRowHeight="14"/>
  <cols>
    <col width="6.65833333333333" customWidth="1" style="50" min="1" max="1"/>
    <col width="8.08333333333333" customWidth="1" style="50" min="2" max="2"/>
    <col width="12.6583333333333" customWidth="1" style="50" min="3" max="5"/>
    <col width="16.75" customWidth="1" style="50" min="6" max="7"/>
    <col width="18.9083333333333" customWidth="1" style="51" min="8" max="8"/>
    <col width="6.65833333333333" customWidth="1" style="52" min="9" max="10"/>
    <col width="5.08333333333333" customWidth="1" style="53" min="11" max="11"/>
    <col width="5.40833333333333" customWidth="1" style="53" min="12" max="12"/>
    <col width="8.65833333333333" customWidth="1" style="52" min="13" max="13"/>
    <col width="20.6583333333333" customWidth="1" style="52" min="14" max="14"/>
    <col width="4.75" customWidth="1" style="52" min="15" max="15"/>
    <col width="9" customWidth="1" style="52" min="16" max="16384"/>
  </cols>
  <sheetData>
    <row r="1">
      <c r="A1" s="54" t="inlineStr">
        <is>
          <t>规模估算方法</t>
        </is>
      </c>
      <c r="B1" s="105" t="n"/>
      <c r="C1" s="55" t="inlineStr">
        <is>
          <t>估算功能点</t>
        </is>
      </c>
      <c r="D1" s="58" t="inlineStr">
        <is>
          <t>请选择规模估算方法，缺省为“估算功能点”</t>
        </is>
      </c>
      <c r="E1" s="106" t="n"/>
      <c r="F1" s="106" t="n"/>
      <c r="G1" s="106" t="n"/>
      <c r="H1" s="106" t="n"/>
      <c r="I1" s="106" t="n"/>
      <c r="J1" s="106" t="n"/>
      <c r="K1" s="106" t="n"/>
      <c r="L1" s="106" t="n"/>
      <c r="M1" s="106" t="n"/>
      <c r="N1" s="96" t="n"/>
    </row>
    <row r="2">
      <c r="A2" s="59" t="inlineStr">
        <is>
          <t>功能点合计</t>
        </is>
      </c>
      <c r="B2" s="96" t="n"/>
      <c r="C2" s="60">
        <f>J18</f>
        <v/>
      </c>
      <c r="D2" s="58" t="inlineStr">
        <is>
          <t>单位：FP</t>
        </is>
      </c>
      <c r="E2" s="106" t="n"/>
      <c r="F2" s="106" t="n"/>
      <c r="G2" s="106" t="n"/>
      <c r="H2" s="106" t="n"/>
      <c r="I2" s="106" t="n"/>
      <c r="J2" s="106" t="n"/>
      <c r="K2" s="106" t="n"/>
      <c r="L2" s="106" t="n"/>
      <c r="M2" s="106" t="n"/>
      <c r="N2" s="96" t="n"/>
    </row>
    <row r="3">
      <c r="A3" s="59" t="inlineStr">
        <is>
          <t>调整后功能点</t>
        </is>
      </c>
      <c r="B3" s="96" t="n"/>
      <c r="C3" s="107">
        <f>M18</f>
        <v/>
      </c>
      <c r="D3" s="58" t="inlineStr">
        <is>
          <t>单位：FP</t>
        </is>
      </c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96" t="n"/>
    </row>
    <row r="4" ht="13.5" customHeight="1">
      <c r="A4" s="108" t="n"/>
      <c r="B4" s="106" t="n"/>
      <c r="C4" s="106" t="n"/>
      <c r="D4" s="106" t="n"/>
      <c r="E4" s="106" t="n"/>
      <c r="F4" s="106" t="n"/>
      <c r="G4" s="106" t="n"/>
      <c r="H4" s="106" t="n"/>
      <c r="I4" s="106" t="n"/>
      <c r="J4" s="106" t="n"/>
      <c r="K4" s="106" t="n"/>
      <c r="L4" s="106" t="n"/>
      <c r="M4" s="106" t="n"/>
      <c r="N4" s="96" t="n"/>
    </row>
    <row r="5" ht="28" customHeight="1">
      <c r="A5" s="59" t="inlineStr">
        <is>
          <t>编号</t>
        </is>
      </c>
      <c r="B5" s="59" t="inlineStr">
        <is>
          <t>子系统</t>
        </is>
      </c>
      <c r="C5" s="59" t="inlineStr">
        <is>
          <t>一级模块</t>
        </is>
      </c>
      <c r="D5" s="59" t="inlineStr">
        <is>
          <t>二级模块</t>
        </is>
      </c>
      <c r="E5" s="64" t="inlineStr">
        <is>
          <t>三级模块</t>
        </is>
      </c>
      <c r="F5" s="59" t="inlineStr">
        <is>
          <t>四级模块</t>
        </is>
      </c>
      <c r="G5" s="65" t="inlineStr">
        <is>
          <t>功能项描述</t>
        </is>
      </c>
      <c r="H5" s="65" t="inlineStr">
        <is>
          <t>功能点计数项名称</t>
        </is>
      </c>
      <c r="I5" s="59" t="inlineStr">
        <is>
          <t>类别</t>
        </is>
      </c>
      <c r="J5" s="59" t="inlineStr">
        <is>
          <t>UFP</t>
        </is>
      </c>
      <c r="K5" s="59" t="inlineStr">
        <is>
          <t>重用程度</t>
        </is>
      </c>
      <c r="L5" s="59" t="inlineStr">
        <is>
          <t>修改类型</t>
        </is>
      </c>
      <c r="M5" s="59" t="inlineStr">
        <is>
          <t>US</t>
        </is>
      </c>
      <c r="N5" s="59" t="inlineStr">
        <is>
          <t>备注</t>
        </is>
      </c>
    </row>
    <row r="6">
      <c r="A6" s="66">
        <f>ROW()-5</f>
        <v/>
      </c>
      <c r="B6" s="67" t="inlineStr">
        <is>
          <t>客户管理系统</t>
        </is>
      </c>
      <c r="C6" s="67" t="inlineStr">
        <is>
          <t>客户准入</t>
        </is>
      </c>
      <c r="D6" s="67" t="inlineStr">
        <is>
          <t>资料采集</t>
        </is>
      </c>
      <c r="E6" s="67" t="inlineStr">
        <is>
          <t>客户信息</t>
        </is>
      </c>
      <c r="F6" s="67" t="inlineStr"/>
      <c r="G6" s="67" t="inlineStr">
        <is>
          <t>新增客户基础资料录入与校验</t>
        </is>
      </c>
      <c r="H6" s="67" t="inlineStr">
        <is>
          <t>客户基础资料维护</t>
        </is>
      </c>
      <c r="I6" s="66" t="inlineStr">
        <is>
          <t>ILF</t>
        </is>
      </c>
      <c r="J6" s="8">
        <f>IF(I6="ILF",IF($C$1="预估功能点",'模板使用说明&amp;基础参数'!$E$15,'模板使用说明&amp;基础参数'!$E$22),IF(I6="EIF",IF($C$1="预估功能点",'模板使用说明&amp;基础参数'!$E$16,'模板使用说明&amp;基础参数'!$E$23),IF(I6="EI",IF($C$1="预估功能点",'模板使用说明&amp;基础参数'!$E$17,'模板使用说明&amp;基础参数'!$E$24),IF(I6="EO",IF($C$1="预估功能点",'模板使用说明&amp;基础参数'!$E$18,'模板使用说明&amp;基础参数'!$E$25),IF(I6="EQ",IF($C$1="预估功能点",'模板使用说明&amp;基础参数'!$E$19,'模板使用说明&amp;基础参数'!$E$26),"")))))</f>
        <v/>
      </c>
      <c r="K6" s="74" t="inlineStr">
        <is>
          <t>低</t>
        </is>
      </c>
      <c r="L6" s="74" t="inlineStr">
        <is>
          <t>新增</t>
        </is>
      </c>
      <c r="M6" s="109">
        <f>IF(J6="","",IF(K6="高",IF(L6="删除",J6*'模板使用说明&amp;基础参数'!$E$5*'模板使用说明&amp;基础参数'!$E$12,IF(L6="修改",J6*'模板使用说明&amp;基础参数'!$E$5*'模板使用说明&amp;基础参数'!$E$11,J6*'模板使用说明&amp;基础参数'!$E$5*'模板使用说明&amp;基础参数'!$E$10)),IF(K6="中",IF(L6="删除",J6*'模板使用说明&amp;基础参数'!$E$6*'模板使用说明&amp;基础参数'!$E$12,IF(L6="修改",J6*'模板使用说明&amp;基础参数'!$E$6*'模板使用说明&amp;基础参数'!$E$11,J6*'模板使用说明&amp;基础参数'!$E$6*'模板使用说明&amp;基础参数'!$E$10)),IF(L6="删除",J6*'模板使用说明&amp;基础参数'!$E$7*'模板使用说明&amp;基础参数'!$E$12,IF(L6="修改",J6*'模板使用说明&amp;基础参数'!$E$7*'模板使用说明&amp;基础参数'!$E$11,J6*'模板使用说明&amp;基础参数'!$E$7*'模板使用说明&amp;基础参数'!$E$10)))))</f>
        <v/>
      </c>
      <c r="N6" s="76" t="inlineStr">
        <is>
          <t>类别原因：ILF，新增客户基础资料录入与校验（客户基础资料维护），原始说明：新增客户主数据组，用于维护系统内部持久业务数据或状态记录，属于内部逻辑文件；复用原因：低，本次能力相对独立，需要新增主要业务流程、数据结构或处理逻辑；修改类型原因：新增，本次新增 客户基础资料维护 相关能力。</t>
        </is>
      </c>
    </row>
    <row r="7">
      <c r="A7" s="66">
        <f>ROW()-5</f>
        <v/>
      </c>
      <c r="B7" s="67" t="inlineStr">
        <is>
          <t>客户管理系统</t>
        </is>
      </c>
      <c r="C7" s="67" t="inlineStr">
        <is>
          <t>客户准入</t>
        </is>
      </c>
      <c r="D7" s="67" t="inlineStr">
        <is>
          <t>资料采集</t>
        </is>
      </c>
      <c r="E7" s="67" t="inlineStr">
        <is>
          <t>影像附件</t>
        </is>
      </c>
      <c r="F7" s="67" t="inlineStr"/>
      <c r="G7" s="67" t="inlineStr">
        <is>
          <t>维护客户证件和资质附件清单</t>
        </is>
      </c>
      <c r="H7" s="67" t="inlineStr">
        <is>
          <t>客户附件资料维护</t>
        </is>
      </c>
      <c r="I7" s="66" t="inlineStr">
        <is>
          <t>ILF</t>
        </is>
      </c>
      <c r="J7" s="8">
        <f>IF(I7="ILF",IF($C$1="预估功能点",'模板使用说明&amp;基础参数'!$E$15,'模板使用说明&amp;基础参数'!$E$22),IF(I7="EIF",IF($C$1="预估功能点",'模板使用说明&amp;基础参数'!$E$16,'模板使用说明&amp;基础参数'!$E$23),IF(I7="EI",IF($C$1="预估功能点",'模板使用说明&amp;基础参数'!$E$17,'模板使用说明&amp;基础参数'!$E$24),IF(I7="EO",IF($C$1="预估功能点",'模板使用说明&amp;基础参数'!$E$18,'模板使用说明&amp;基础参数'!$E$25),IF(I7="EQ",IF($C$1="预估功能点",'模板使用说明&amp;基础参数'!$E$19,'模板使用说明&amp;基础参数'!$E$26),"")))))</f>
        <v/>
      </c>
      <c r="K7" s="74" t="inlineStr">
        <is>
          <t>低</t>
        </is>
      </c>
      <c r="L7" s="74" t="inlineStr">
        <is>
          <t>新增</t>
        </is>
      </c>
      <c r="M7" s="109">
        <f>IF(J7="","",IF(K7="高",IF(L7="删除",J7*'模板使用说明&amp;基础参数'!$E$5*'模板使用说明&amp;基础参数'!$E$12,IF(L7="修改",J7*'模板使用说明&amp;基础参数'!$E$5*'模板使用说明&amp;基础参数'!$E$11,J7*'模板使用说明&amp;基础参数'!$E$5*'模板使用说明&amp;基础参数'!$E$10)),IF(K7="中",IF(L7="删除",J7*'模板使用说明&amp;基础参数'!$E$6*'模板使用说明&amp;基础参数'!$E$12,IF(L7="修改",J7*'模板使用说明&amp;基础参数'!$E$6*'模板使用说明&amp;基础参数'!$E$11,J7*'模板使用说明&amp;基础参数'!$E$6*'模板使用说明&amp;基础参数'!$E$10)),IF(L7="删除",J7*'模板使用说明&amp;基础参数'!$E$7*'模板使用说明&amp;基础参数'!$E$12,IF(L7="修改",J7*'模板使用说明&amp;基础参数'!$E$7*'模板使用说明&amp;基础参数'!$E$11,J7*'模板使用说明&amp;基础参数'!$E$7*'模板使用说明&amp;基础参数'!$E$10)))))</f>
        <v/>
      </c>
      <c r="N7" s="76" t="inlineStr">
        <is>
          <t>类别原因：ILF，维护客户证件和资质附件清单（客户附件资料维护），原始说明：新增附件清单数据组，用于维护系统内部持久业务数据或状态记录，属于内部逻辑文件；复用原因：低，本次能力相对独立，需要新增主要业务流程、数据结构或处理逻辑；修改类型原因：新增，本次新增 客户附件资料维护 相关能力。</t>
        </is>
      </c>
    </row>
    <row r="8">
      <c r="A8" s="66">
        <f>ROW()-5</f>
        <v/>
      </c>
      <c r="B8" s="67" t="inlineStr">
        <is>
          <t>客户管理系统</t>
        </is>
      </c>
      <c r="C8" s="67" t="inlineStr">
        <is>
          <t>客户准入</t>
        </is>
      </c>
      <c r="D8" s="67" t="inlineStr">
        <is>
          <t>外部核验</t>
        </is>
      </c>
      <c r="E8" s="67" t="inlineStr">
        <is>
          <t>工商信息</t>
        </is>
      </c>
      <c r="F8" s="67" t="inlineStr"/>
      <c r="G8" s="67" t="inlineStr">
        <is>
          <t>调用工商信息服务获取客户注册状态</t>
        </is>
      </c>
      <c r="H8" s="67" t="inlineStr">
        <is>
          <t>工商信息查询接口</t>
        </is>
      </c>
      <c r="I8" s="66" t="inlineStr">
        <is>
          <t>EIF</t>
        </is>
      </c>
      <c r="J8" s="8">
        <f>IF(I8="ILF",IF($C$1="预估功能点",'模板使用说明&amp;基础参数'!$E$15,'模板使用说明&amp;基础参数'!$E$22),IF(I8="EIF",IF($C$1="预估功能点",'模板使用说明&amp;基础参数'!$E$16,'模板使用说明&amp;基础参数'!$E$23),IF(I8="EI",IF($C$1="预估功能点",'模板使用说明&amp;基础参数'!$E$17,'模板使用说明&amp;基础参数'!$E$24),IF(I8="EO",IF($C$1="预估功能点",'模板使用说明&amp;基础参数'!$E$18,'模板使用说明&amp;基础参数'!$E$25),IF(I8="EQ",IF($C$1="预估功能点",'模板使用说明&amp;基础参数'!$E$19,'模板使用说明&amp;基础参数'!$E$26),"")))))</f>
        <v/>
      </c>
      <c r="K8" s="74" t="inlineStr">
        <is>
          <t>中</t>
        </is>
      </c>
      <c r="L8" s="74" t="inlineStr">
        <is>
          <t>新增</t>
        </is>
      </c>
      <c r="M8" s="109">
        <f>IF(J8="","",IF(K8="高",IF(L8="删除",J8*'模板使用说明&amp;基础参数'!$E$5*'模板使用说明&amp;基础参数'!$E$12,IF(L8="修改",J8*'模板使用说明&amp;基础参数'!$E$5*'模板使用说明&amp;基础参数'!$E$11,J8*'模板使用说明&amp;基础参数'!$E$5*'模板使用说明&amp;基础参数'!$E$10)),IF(K8="中",IF(L8="删除",J8*'模板使用说明&amp;基础参数'!$E$6*'模板使用说明&amp;基础参数'!$E$12,IF(L8="修改",J8*'模板使用说明&amp;基础参数'!$E$6*'模板使用说明&amp;基础参数'!$E$11,J8*'模板使用说明&amp;基础参数'!$E$6*'模板使用说明&amp;基础参数'!$E$10)),IF(L8="删除",J8*'模板使用说明&amp;基础参数'!$E$7*'模板使用说明&amp;基础参数'!$E$12,IF(L8="修改",J8*'模板使用说明&amp;基础参数'!$E$7*'模板使用说明&amp;基础参数'!$E$11,J8*'模板使用说明&amp;基础参数'!$E$7*'模板使用说明&amp;基础参数'!$E$10)))))</f>
        <v/>
      </c>
      <c r="N8" s="77" t="inlineStr">
        <is>
          <t>类别原因：EIF，调用工商信息服务获取客户注册状态（工商信息查询接口），原始说明：外部参考数据，依赖外部系统维护的数据或接口资料作为参考，属于外部接口文件；复用原因：中，可复用部分既有能力，但需要新增或调整字段、规则、关联关系或处理逻辑；修改类型原因：新增，本次新增 工商信息查询接口 相关能力。</t>
        </is>
      </c>
    </row>
    <row r="9">
      <c r="A9" s="66">
        <f>ROW()-5</f>
        <v/>
      </c>
      <c r="B9" s="67" t="inlineStr">
        <is>
          <t>客户管理系统</t>
        </is>
      </c>
      <c r="C9" s="67" t="inlineStr">
        <is>
          <t>客户准入</t>
        </is>
      </c>
      <c r="D9" s="67" t="inlineStr">
        <is>
          <t>资料提交</t>
        </is>
      </c>
      <c r="E9" s="67" t="inlineStr">
        <is>
          <t>准入申请</t>
        </is>
      </c>
      <c r="F9" s="67" t="inlineStr"/>
      <c r="G9" s="67" t="inlineStr">
        <is>
          <t>提交准入申请并写入待审核状态</t>
        </is>
      </c>
      <c r="H9" s="67" t="inlineStr">
        <is>
          <t>准入申请提交</t>
        </is>
      </c>
      <c r="I9" s="66" t="inlineStr">
        <is>
          <t>EI</t>
        </is>
      </c>
      <c r="J9" s="8">
        <f>IF(I9="ILF",IF($C$1="预估功能点",'模板使用说明&amp;基础参数'!$E$15,'模板使用说明&amp;基础参数'!$E$22),IF(I9="EIF",IF($C$1="预估功能点",'模板使用说明&amp;基础参数'!$E$16,'模板使用说明&amp;基础参数'!$E$23),IF(I9="EI",IF($C$1="预估功能点",'模板使用说明&amp;基础参数'!$E$17,'模板使用说明&amp;基础参数'!$E$24),IF(I9="EO",IF($C$1="预估功能点",'模板使用说明&amp;基础参数'!$E$18,'模板使用说明&amp;基础参数'!$E$25),IF(I9="EQ",IF($C$1="预估功能点",'模板使用说明&amp;基础参数'!$E$19,'模板使用说明&amp;基础参数'!$E$26),"")))))</f>
        <v/>
      </c>
      <c r="K9" s="74" t="inlineStr">
        <is>
          <t>低</t>
        </is>
      </c>
      <c r="L9" s="74" t="inlineStr">
        <is>
          <t>新增</t>
        </is>
      </c>
      <c r="M9" s="109">
        <f>IF(J9="","",IF(K9="高",IF(L9="删除",J9*'模板使用说明&amp;基础参数'!$E$5*'模板使用说明&amp;基础参数'!$E$12,IF(L9="修改",J9*'模板使用说明&amp;基础参数'!$E$5*'模板使用说明&amp;基础参数'!$E$11,J9*'模板使用说明&amp;基础参数'!$E$5*'模板使用说明&amp;基础参数'!$E$10)),IF(K9="中",IF(L9="删除",J9*'模板使用说明&amp;基础参数'!$E$6*'模板使用说明&amp;基础参数'!$E$12,IF(L9="修改",J9*'模板使用说明&amp;基础参数'!$E$6*'模板使用说明&amp;基础参数'!$E$11,J9*'模板使用说明&amp;基础参数'!$E$6*'模板使用说明&amp;基础参数'!$E$10)),IF(L9="删除",J9*'模板使用说明&amp;基础参数'!$E$7*'模板使用说明&amp;基础参数'!$E$12,IF(L9="修改",J9*'模板使用说明&amp;基础参数'!$E$7*'模板使用说明&amp;基础参数'!$E$11,J9*'模板使用说明&amp;基础参数'!$E$7*'模板使用说明&amp;基础参数'!$E$10)))))</f>
        <v/>
      </c>
      <c r="N9" s="77" t="inlineStr">
        <is>
          <t>类别原因：EI，提交准入申请并写入待审核状态（准入申请提交），原始说明：外部输入，由用户或外部系统输入并触发业务数据维护或状态变更，属于外部输入；复用原因：低，本次能力相对独立，需要新增主要业务流程、数据结构或处理逻辑；修改类型原因：新增，本次新增 准入申请提交 相关能力。</t>
        </is>
      </c>
    </row>
    <row r="10">
      <c r="A10" s="66">
        <f>ROW()-5</f>
        <v/>
      </c>
      <c r="B10" s="67" t="inlineStr">
        <is>
          <t>客户管理系统</t>
        </is>
      </c>
      <c r="C10" s="67" t="inlineStr">
        <is>
          <t>客户准入</t>
        </is>
      </c>
      <c r="D10" s="67" t="inlineStr">
        <is>
          <t>资料提交</t>
        </is>
      </c>
      <c r="E10" s="67" t="inlineStr">
        <is>
          <t>附件上传</t>
        </is>
      </c>
      <c r="F10" s="67" t="inlineStr"/>
      <c r="G10" s="67" t="inlineStr">
        <is>
          <t>上传并关联客户准入附件</t>
        </is>
      </c>
      <c r="H10" s="67" t="inlineStr">
        <is>
          <t>准入附件上传</t>
        </is>
      </c>
      <c r="I10" s="66" t="inlineStr">
        <is>
          <t>EI</t>
        </is>
      </c>
      <c r="J10" s="8">
        <f>IF(I10="ILF",IF($C$1="预估功能点",'模板使用说明&amp;基础参数'!$E$15,'模板使用说明&amp;基础参数'!$E$22),IF(I10="EIF",IF($C$1="预估功能点",'模板使用说明&amp;基础参数'!$E$16,'模板使用说明&amp;基础参数'!$E$23),IF(I10="EI",IF($C$1="预估功能点",'模板使用说明&amp;基础参数'!$E$17,'模板使用说明&amp;基础参数'!$E$24),IF(I10="EO",IF($C$1="预估功能点",'模板使用说明&amp;基础参数'!$E$18,'模板使用说明&amp;基础参数'!$E$25),IF(I10="EQ",IF($C$1="预估功能点",'模板使用说明&amp;基础参数'!$E$19,'模板使用说明&amp;基础参数'!$E$26),"")))))</f>
        <v/>
      </c>
      <c r="K10" s="74" t="inlineStr">
        <is>
          <t>中</t>
        </is>
      </c>
      <c r="L10" s="74" t="inlineStr">
        <is>
          <t>新增</t>
        </is>
      </c>
      <c r="M10" s="109">
        <f>IF(J10="","",IF(K10="高",IF(L10="删除",J10*'模板使用说明&amp;基础参数'!$E$5*'模板使用说明&amp;基础参数'!$E$12,IF(L10="修改",J10*'模板使用说明&amp;基础参数'!$E$5*'模板使用说明&amp;基础参数'!$E$11,J10*'模板使用说明&amp;基础参数'!$E$5*'模板使用说明&amp;基础参数'!$E$10)),IF(K10="中",IF(L10="删除",J10*'模板使用说明&amp;基础参数'!$E$6*'模板使用说明&amp;基础参数'!$E$12,IF(L10="修改",J10*'模板使用说明&amp;基础参数'!$E$6*'模板使用说明&amp;基础参数'!$E$11,J10*'模板使用说明&amp;基础参数'!$E$6*'模板使用说明&amp;基础参数'!$E$10)),IF(L10="删除",J10*'模板使用说明&amp;基础参数'!$E$7*'模板使用说明&amp;基础参数'!$E$12,IF(L10="修改",J10*'模板使用说明&amp;基础参数'!$E$7*'模板使用说明&amp;基础参数'!$E$11,J10*'模板使用说明&amp;基础参数'!$E$7*'模板使用说明&amp;基础参数'!$E$10)))))</f>
        <v/>
      </c>
      <c r="N10" s="77" t="inlineStr">
        <is>
          <t>类别原因：EI，上传并关联客户准入附件（准入附件上传），原始说明：外部输入，由用户或外部系统输入并触发业务数据维护或状态变更，属于外部输入；复用原因：中，可复用部分既有能力，但需要新增或调整字段、规则、关联关系或处理逻辑；修改类型原因：新增，本次新增 准入附件上传 相关能力。</t>
        </is>
      </c>
    </row>
    <row r="11">
      <c r="A11" s="66">
        <f>ROW()-5</f>
        <v/>
      </c>
      <c r="B11" s="67" t="inlineStr">
        <is>
          <t>客户管理系统</t>
        </is>
      </c>
      <c r="C11" s="67" t="inlineStr">
        <is>
          <t>客户准入</t>
        </is>
      </c>
      <c r="D11" s="67" t="inlineStr">
        <is>
          <t>规则校验</t>
        </is>
      </c>
      <c r="E11" s="67" t="inlineStr">
        <is>
          <t>准入规则</t>
        </is>
      </c>
      <c r="F11" s="67" t="inlineStr"/>
      <c r="G11" s="67" t="inlineStr">
        <is>
          <t>按黑名单、资质和区域规则执行准入校验</t>
        </is>
      </c>
      <c r="H11" s="67" t="inlineStr">
        <is>
          <t>准入规则校验</t>
        </is>
      </c>
      <c r="I11" s="66" t="inlineStr">
        <is>
          <t>EO</t>
        </is>
      </c>
      <c r="J11" s="8">
        <f>IF(I11="ILF",IF($C$1="预估功能点",'模板使用说明&amp;基础参数'!$E$15,'模板使用说明&amp;基础参数'!$E$22),IF(I11="EIF",IF($C$1="预估功能点",'模板使用说明&amp;基础参数'!$E$16,'模板使用说明&amp;基础参数'!$E$23),IF(I11="EI",IF($C$1="预估功能点",'模板使用说明&amp;基础参数'!$E$17,'模板使用说明&amp;基础参数'!$E$24),IF(I11="EO",IF($C$1="预估功能点",'模板使用说明&amp;基础参数'!$E$18,'模板使用说明&amp;基础参数'!$E$25),IF(I11="EQ",IF($C$1="预估功能点",'模板使用说明&amp;基础参数'!$E$19,'模板使用说明&amp;基础参数'!$E$26),"")))))</f>
        <v/>
      </c>
      <c r="K11" s="74" t="inlineStr">
        <is>
          <t>低</t>
        </is>
      </c>
      <c r="L11" s="74" t="inlineStr">
        <is>
          <t>新增</t>
        </is>
      </c>
      <c r="M11" s="109">
        <f>IF(J11="","",IF(K11="高",IF(L11="删除",J11*'模板使用说明&amp;基础参数'!$E$5*'模板使用说明&amp;基础参数'!$E$12,IF(L11="修改",J11*'模板使用说明&amp;基础参数'!$E$5*'模板使用说明&amp;基础参数'!$E$11,J11*'模板使用说明&amp;基础参数'!$E$5*'模板使用说明&amp;基础参数'!$E$10)),IF(K11="中",IF(L11="删除",J11*'模板使用说明&amp;基础参数'!$E$6*'模板使用说明&amp;基础参数'!$E$12,IF(L11="修改",J11*'模板使用说明&amp;基础参数'!$E$6*'模板使用说明&amp;基础参数'!$E$11,J11*'模板使用说明&amp;基础参数'!$E$6*'模板使用说明&amp;基础参数'!$E$10)),IF(L11="删除",J11*'模板使用说明&amp;基础参数'!$E$7*'模板使用说明&amp;基础参数'!$E$12,IF(L11="修改",J11*'模板使用说明&amp;基础参数'!$E$7*'模板使用说明&amp;基础参数'!$E$11,J11*'模板使用说明&amp;基础参数'!$E$7*'模板使用说明&amp;基础参数'!$E$10)))))</f>
        <v/>
      </c>
      <c r="N11" s="77" t="inlineStr">
        <is>
          <t>类别原因：EO，按黑名单、资质和区域规则执行准入校验（准入规则校验），原始说明：派生输出，包含派生处理、通知、导出、统计或风险提示等输出，属于外部输出；复用原因：低，本次能力相对独立，需要新增主要业务流程、数据结构或处理逻辑；修改类型原因：新增，本次新增 准入规则校验 相关能力。</t>
        </is>
      </c>
    </row>
    <row r="12">
      <c r="A12" s="66">
        <f>ROW()-5</f>
        <v/>
      </c>
      <c r="B12" s="67" t="inlineStr">
        <is>
          <t>客户管理系统</t>
        </is>
      </c>
      <c r="C12" s="67" t="inlineStr">
        <is>
          <t>客户准入</t>
        </is>
      </c>
      <c r="D12" s="67" t="inlineStr">
        <is>
          <t>风险提示</t>
        </is>
      </c>
      <c r="E12" s="67" t="inlineStr">
        <is>
          <t>提示生成</t>
        </is>
      </c>
      <c r="F12" s="67" t="inlineStr"/>
      <c r="G12" s="67" t="inlineStr">
        <is>
          <t>生成准入风险提示和处理建议</t>
        </is>
      </c>
      <c r="H12" s="67" t="inlineStr">
        <is>
          <t>准入风险提示</t>
        </is>
      </c>
      <c r="I12" s="66" t="inlineStr">
        <is>
          <t>EO</t>
        </is>
      </c>
      <c r="J12" s="8">
        <f>IF(I12="ILF",IF($C$1="预估功能点",'模板使用说明&amp;基础参数'!$E$15,'模板使用说明&amp;基础参数'!$E$22),IF(I12="EIF",IF($C$1="预估功能点",'模板使用说明&amp;基础参数'!$E$16,'模板使用说明&amp;基础参数'!$E$23),IF(I12="EI",IF($C$1="预估功能点",'模板使用说明&amp;基础参数'!$E$17,'模板使用说明&amp;基础参数'!$E$24),IF(I12="EO",IF($C$1="预估功能点",'模板使用说明&amp;基础参数'!$E$18,'模板使用说明&amp;基础参数'!$E$25),IF(I12="EQ",IF($C$1="预估功能点",'模板使用说明&amp;基础参数'!$E$19,'模板使用说明&amp;基础参数'!$E$26),"")))))</f>
        <v/>
      </c>
      <c r="K12" s="74" t="inlineStr">
        <is>
          <t>低</t>
        </is>
      </c>
      <c r="L12" s="74" t="inlineStr">
        <is>
          <t>新增</t>
        </is>
      </c>
      <c r="M12" s="109">
        <f>IF(J12="","",IF(K12="高",IF(L12="删除",J12*'模板使用说明&amp;基础参数'!$E$5*'模板使用说明&amp;基础参数'!$E$12,IF(L12="修改",J12*'模板使用说明&amp;基础参数'!$E$5*'模板使用说明&amp;基础参数'!$E$11,J12*'模板使用说明&amp;基础参数'!$E$5*'模板使用说明&amp;基础参数'!$E$10)),IF(K12="中",IF(L12="删除",J12*'模板使用说明&amp;基础参数'!$E$6*'模板使用说明&amp;基础参数'!$E$12,IF(L12="修改",J12*'模板使用说明&amp;基础参数'!$E$6*'模板使用说明&amp;基础参数'!$E$11,J12*'模板使用说明&amp;基础参数'!$E$6*'模板使用说明&amp;基础参数'!$E$10)),IF(L12="删除",J12*'模板使用说明&amp;基础参数'!$E$7*'模板使用说明&amp;基础参数'!$E$12,IF(L12="修改",J12*'模板使用说明&amp;基础参数'!$E$7*'模板使用说明&amp;基础参数'!$E$11,J12*'模板使用说明&amp;基础参数'!$E$7*'模板使用说明&amp;基础参数'!$E$10)))))</f>
        <v/>
      </c>
      <c r="N12" s="76" t="inlineStr">
        <is>
          <t>类别原因：EO，生成准入风险提示和处理建议（准入风险提示），原始说明：派生输出，包含派生处理、通知、导出、统计或风险提示等输出，属于外部输出；复用原因：低，本次能力相对独立，需要新增主要业务流程、数据结构或处理逻辑；修改类型原因：新增，本次新增 准入风险提示 相关能力。</t>
        </is>
      </c>
    </row>
    <row r="13">
      <c r="A13" s="66">
        <f>ROW()-5</f>
        <v/>
      </c>
      <c r="B13" s="67" t="inlineStr">
        <is>
          <t>客户管理系统</t>
        </is>
      </c>
      <c r="C13" s="67" t="inlineStr">
        <is>
          <t>客户准入</t>
        </is>
      </c>
      <c r="D13" s="67" t="inlineStr">
        <is>
          <t>审批处理</t>
        </is>
      </c>
      <c r="E13" s="67" t="inlineStr">
        <is>
          <t>审批结果</t>
        </is>
      </c>
      <c r="F13" s="67" t="inlineStr"/>
      <c r="G13" s="67" t="inlineStr">
        <is>
          <t>保存审批结论并更新客户准入状态</t>
        </is>
      </c>
      <c r="H13" s="67" t="inlineStr">
        <is>
          <t>准入审批结果维护</t>
        </is>
      </c>
      <c r="I13" s="66" t="inlineStr">
        <is>
          <t>EI</t>
        </is>
      </c>
      <c r="J13" s="8">
        <f>IF(I13="ILF",IF($C$1="预估功能点",'模板使用说明&amp;基础参数'!$E$15,'模板使用说明&amp;基础参数'!$E$22),IF(I13="EIF",IF($C$1="预估功能点",'模板使用说明&amp;基础参数'!$E$16,'模板使用说明&amp;基础参数'!$E$23),IF(I13="EI",IF($C$1="预估功能点",'模板使用说明&amp;基础参数'!$E$17,'模板使用说明&amp;基础参数'!$E$24),IF(I13="EO",IF($C$1="预估功能点",'模板使用说明&amp;基础参数'!$E$18,'模板使用说明&amp;基础参数'!$E$25),IF(I13="EQ",IF($C$1="预估功能点",'模板使用说明&amp;基础参数'!$E$19,'模板使用说明&amp;基础参数'!$E$26),"")))))</f>
        <v/>
      </c>
      <c r="K13" s="74" t="inlineStr">
        <is>
          <t>低</t>
        </is>
      </c>
      <c r="L13" s="74" t="inlineStr">
        <is>
          <t>新增</t>
        </is>
      </c>
      <c r="M13" s="109">
        <f>IF(J13="","",IF(K13="高",IF(L13="删除",J13*'模板使用说明&amp;基础参数'!$E$5*'模板使用说明&amp;基础参数'!$E$12,IF(L13="修改",J13*'模板使用说明&amp;基础参数'!$E$5*'模板使用说明&amp;基础参数'!$E$11,J13*'模板使用说明&amp;基础参数'!$E$5*'模板使用说明&amp;基础参数'!$E$10)),IF(K13="中",IF(L13="删除",J13*'模板使用说明&amp;基础参数'!$E$6*'模板使用说明&amp;基础参数'!$E$12,IF(L13="修改",J13*'模板使用说明&amp;基础参数'!$E$6*'模板使用说明&amp;基础参数'!$E$11,J13*'模板使用说明&amp;基础参数'!$E$6*'模板使用说明&amp;基础参数'!$E$10)),IF(L13="删除",J13*'模板使用说明&amp;基础参数'!$E$7*'模板使用说明&amp;基础参数'!$E$12,IF(L13="修改",J13*'模板使用说明&amp;基础参数'!$E$7*'模板使用说明&amp;基础参数'!$E$11,J13*'模板使用说明&amp;基础参数'!$E$7*'模板使用说明&amp;基础参数'!$E$10)))))</f>
        <v/>
      </c>
      <c r="N13" s="76" t="inlineStr">
        <is>
          <t>类别原因：EI，保存审批结论并更新客户准入状态（准入审批结果维护），原始说明：外部输入，由用户或外部系统输入并触发业务数据维护或状态变更，属于外部输入；复用原因：低，本次能力相对独立，需要新增主要业务流程、数据结构或处理逻辑；修改类型原因：新增，本次新增 准入审批结果维护 相关能力。</t>
        </is>
      </c>
    </row>
    <row r="14">
      <c r="A14" s="66">
        <f>ROW()-5</f>
        <v/>
      </c>
      <c r="B14" s="67" t="inlineStr">
        <is>
          <t>客户管理系统</t>
        </is>
      </c>
      <c r="C14" s="67" t="inlineStr">
        <is>
          <t>客户准入</t>
        </is>
      </c>
      <c r="D14" s="67" t="inlineStr">
        <is>
          <t>查询展示</t>
        </is>
      </c>
      <c r="E14" s="68" t="inlineStr">
        <is>
          <t>申请列表</t>
        </is>
      </c>
      <c r="F14" s="68" t="inlineStr"/>
      <c r="G14" s="68" t="inlineStr">
        <is>
          <t>按条件查询客户准入申请列表</t>
        </is>
      </c>
      <c r="H14" s="68" t="inlineStr">
        <is>
          <t>准入申请列表查询</t>
        </is>
      </c>
      <c r="I14" s="66" t="inlineStr">
        <is>
          <t>EQ</t>
        </is>
      </c>
      <c r="J14" s="8">
        <f>IF(I14="ILF",IF($C$1="预估功能点",'模板使用说明&amp;基础参数'!$E$15,'模板使用说明&amp;基础参数'!$E$22),IF(I14="EIF",IF($C$1="预估功能点",'模板使用说明&amp;基础参数'!$E$16,'模板使用说明&amp;基础参数'!$E$23),IF(I14="EI",IF($C$1="预估功能点",'模板使用说明&amp;基础参数'!$E$17,'模板使用说明&amp;基础参数'!$E$24),IF(I14="EO",IF($C$1="预估功能点",'模板使用说明&amp;基础参数'!$E$18,'模板使用说明&amp;基础参数'!$E$25),IF(I14="EQ",IF($C$1="预估功能点",'模板使用说明&amp;基础参数'!$E$19,'模板使用说明&amp;基础参数'!$E$26),"")))))</f>
        <v/>
      </c>
      <c r="K14" s="74" t="inlineStr">
        <is>
          <t>中</t>
        </is>
      </c>
      <c r="L14" s="74" t="inlineStr">
        <is>
          <t>新增</t>
        </is>
      </c>
      <c r="M14" s="109">
        <f>IF(J14="","",IF(K14="高",IF(L14="删除",J14*'模板使用说明&amp;基础参数'!$E$5*'模板使用说明&amp;基础参数'!$E$12,IF(L14="修改",J14*'模板使用说明&amp;基础参数'!$E$5*'模板使用说明&amp;基础参数'!$E$11,J14*'模板使用说明&amp;基础参数'!$E$5*'模板使用说明&amp;基础参数'!$E$10)),IF(K14="中",IF(L14="删除",J14*'模板使用说明&amp;基础参数'!$E$6*'模板使用说明&amp;基础参数'!$E$12,IF(L14="修改",J14*'模板使用说明&amp;基础参数'!$E$6*'模板使用说明&amp;基础参数'!$E$11,J14*'模板使用说明&amp;基础参数'!$E$6*'模板使用说明&amp;基础参数'!$E$10)),IF(L14="删除",J14*'模板使用说明&amp;基础参数'!$E$7*'模板使用说明&amp;基础参数'!$E$12,IF(L14="修改",J14*'模板使用说明&amp;基础参数'!$E$7*'模板使用说明&amp;基础参数'!$E$11,J14*'模板使用说明&amp;基础参数'!$E$7*'模板使用说明&amp;基础参数'!$E$10)))))</f>
        <v/>
      </c>
      <c r="N14" s="76" t="inlineStr">
        <is>
          <t>类别原因：EQ，按条件查询客户准入申请列表（准入申请列表查询），原始说明：外部查询，按条件读取并展示已有数据，未产生复杂派生处理，属于外部查询；复用原因：中，可复用部分既有能力，但需要新增或调整字段、规则、关联关系或处理逻辑；修改类型原因：新增，本次新增 准入申请列表查询 相关能力。</t>
        </is>
      </c>
    </row>
    <row r="15">
      <c r="A15" s="66">
        <f>ROW()-5</f>
        <v/>
      </c>
      <c r="B15" s="67" t="inlineStr">
        <is>
          <t>客户管理系统</t>
        </is>
      </c>
      <c r="C15" s="67" t="inlineStr">
        <is>
          <t>客户准入</t>
        </is>
      </c>
      <c r="D15" s="67" t="inlineStr">
        <is>
          <t>查询展示</t>
        </is>
      </c>
      <c r="E15" s="68" t="inlineStr">
        <is>
          <t>申请详情</t>
        </is>
      </c>
      <c r="F15" s="68" t="inlineStr"/>
      <c r="G15" s="68" t="inlineStr">
        <is>
          <t>展示客户资料、校验结果和审批轨迹</t>
        </is>
      </c>
      <c r="H15" s="68" t="inlineStr">
        <is>
          <t>准入申请详情查询</t>
        </is>
      </c>
      <c r="I15" s="68" t="inlineStr">
        <is>
          <t>EQ</t>
        </is>
      </c>
      <c r="J15" s="8">
        <f>IF(I15="ILF",IF($C$1="预估功能点",'模板使用说明&amp;基础参数'!$E$15,'模板使用说明&amp;基础参数'!$E$22),IF(I15="EIF",IF($C$1="预估功能点",'模板使用说明&amp;基础参数'!$E$16,'模板使用说明&amp;基础参数'!$E$23),IF(I15="EI",IF($C$1="预估功能点",'模板使用说明&amp;基础参数'!$E$17,'模板使用说明&amp;基础参数'!$E$24),IF(I15="EO",IF($C$1="预估功能点",'模板使用说明&amp;基础参数'!$E$18,'模板使用说明&amp;基础参数'!$E$25),IF(I15="EQ",IF($C$1="预估功能点",'模板使用说明&amp;基础参数'!$E$19,'模板使用说明&amp;基础参数'!$E$26),"")))))</f>
        <v/>
      </c>
      <c r="K15" s="74" t="inlineStr">
        <is>
          <t>中</t>
        </is>
      </c>
      <c r="L15" s="74" t="inlineStr">
        <is>
          <t>新增</t>
        </is>
      </c>
      <c r="M15" s="109">
        <f>IF(J15="","",IF(K15="高",IF(L15="删除",J15*'模板使用说明&amp;基础参数'!$E$5*'模板使用说明&amp;基础参数'!$E$12,IF(L15="修改",J15*'模板使用说明&amp;基础参数'!$E$5*'模板使用说明&amp;基础参数'!$E$11,J15*'模板使用说明&amp;基础参数'!$E$5*'模板使用说明&amp;基础参数'!$E$10)),IF(K15="中",IF(L15="删除",J15*'模板使用说明&amp;基础参数'!$E$6*'模板使用说明&amp;基础参数'!$E$12,IF(L15="修改",J15*'模板使用说明&amp;基础参数'!$E$6*'模板使用说明&amp;基础参数'!$E$11,J15*'模板使用说明&amp;基础参数'!$E$6*'模板使用说明&amp;基础参数'!$E$10)),IF(L15="删除",J15*'模板使用说明&amp;基础参数'!$E$7*'模板使用说明&amp;基础参数'!$E$12,IF(L15="修改",J15*'模板使用说明&amp;基础参数'!$E$7*'模板使用说明&amp;基础参数'!$E$11,J15*'模板使用说明&amp;基础参数'!$E$7*'模板使用说明&amp;基础参数'!$E$10)))))</f>
        <v/>
      </c>
      <c r="N15" s="76" t="inlineStr">
        <is>
          <t>类别原因：EQ，展示客户资料、校验结果和审批轨迹（准入申请详情查询），原始说明：外部查询，按条件读取并展示已有数据，未产生复杂派生处理，属于外部查询；复用原因：中，可复用部分既有能力，但需要新增或调整字段、规则、关联关系或处理逻辑；修改类型原因：新增，本次新增 准入申请详情查询 相关能力。</t>
        </is>
      </c>
    </row>
    <row r="16">
      <c r="A16" s="66">
        <f>ROW()-5</f>
        <v/>
      </c>
      <c r="B16" s="67" t="inlineStr">
        <is>
          <t>客户管理系统</t>
        </is>
      </c>
      <c r="C16" s="67" t="inlineStr">
        <is>
          <t>客户准入</t>
        </is>
      </c>
      <c r="D16" s="67" t="inlineStr">
        <is>
          <t>通知集成</t>
        </is>
      </c>
      <c r="E16" s="68" t="inlineStr">
        <is>
          <t>审批通知</t>
        </is>
      </c>
      <c r="F16" s="68" t="inlineStr"/>
      <c r="G16" s="68" t="inlineStr">
        <is>
          <t>审批完成后推送站内信和待办消息</t>
        </is>
      </c>
      <c r="H16" s="68" t="inlineStr">
        <is>
          <t>准入结果通知</t>
        </is>
      </c>
      <c r="I16" s="68" t="inlineStr">
        <is>
          <t>EO</t>
        </is>
      </c>
      <c r="J16" s="8">
        <f>IF(I16="ILF",IF($C$1="预估功能点",'模板使用说明&amp;基础参数'!$E$15,'模板使用说明&amp;基础参数'!$E$22),IF(I16="EIF",IF($C$1="预估功能点",'模板使用说明&amp;基础参数'!$E$16,'模板使用说明&amp;基础参数'!$E$23),IF(I16="EI",IF($C$1="预估功能点",'模板使用说明&amp;基础参数'!$E$17,'模板使用说明&amp;基础参数'!$E$24),IF(I16="EO",IF($C$1="预估功能点",'模板使用说明&amp;基础参数'!$E$18,'模板使用说明&amp;基础参数'!$E$25),IF(I16="EQ",IF($C$1="预估功能点",'模板使用说明&amp;基础参数'!$E$19,'模板使用说明&amp;基础参数'!$E$26),"")))))</f>
        <v/>
      </c>
      <c r="K16" s="74" t="inlineStr">
        <is>
          <t>中</t>
        </is>
      </c>
      <c r="L16" s="74" t="inlineStr">
        <is>
          <t>新增</t>
        </is>
      </c>
      <c r="M16" s="109">
        <f>IF(J16="","",IF(K16="高",IF(L16="删除",J16*'模板使用说明&amp;基础参数'!$E$5*'模板使用说明&amp;基础参数'!$E$12,IF(L16="修改",J16*'模板使用说明&amp;基础参数'!$E$5*'模板使用说明&amp;基础参数'!$E$11,J16*'模板使用说明&amp;基础参数'!$E$5*'模板使用说明&amp;基础参数'!$E$10)),IF(K16="中",IF(L16="删除",J16*'模板使用说明&amp;基础参数'!$E$6*'模板使用说明&amp;基础参数'!$E$12,IF(L16="修改",J16*'模板使用说明&amp;基础参数'!$E$6*'模板使用说明&amp;基础参数'!$E$11,J16*'模板使用说明&amp;基础参数'!$E$6*'模板使用说明&amp;基础参数'!$E$10)),IF(L16="删除",J16*'模板使用说明&amp;基础参数'!$E$7*'模板使用说明&amp;基础参数'!$E$12,IF(L16="修改",J16*'模板使用说明&amp;基础参数'!$E$7*'模板使用说明&amp;基础参数'!$E$11,J16*'模板使用说明&amp;基础参数'!$E$7*'模板使用说明&amp;基础参数'!$E$10)))))</f>
        <v/>
      </c>
      <c r="N16" s="76" t="inlineStr">
        <is>
          <t>类别原因：EO，审批完成后推送站内信和待办消息（准入结果通知），原始说明：派生输出，包含派生处理、通知、导出、统计或风险提示等输出，属于外部输出；复用原因：中，可复用部分既有能力，但需要新增或调整字段、规则、关联关系或处理逻辑；修改类型原因：新增，本次新增 准入结果通知 相关能力。</t>
        </is>
      </c>
    </row>
    <row r="17">
      <c r="A17" s="66">
        <f>ROW()-5</f>
        <v/>
      </c>
      <c r="B17" s="67" t="inlineStr">
        <is>
          <t>客户管理系统</t>
        </is>
      </c>
      <c r="C17" s="67" t="inlineStr">
        <is>
          <t>客户准入</t>
        </is>
      </c>
      <c r="D17" s="67" t="inlineStr">
        <is>
          <t>报表导出</t>
        </is>
      </c>
      <c r="E17" s="68" t="inlineStr">
        <is>
          <t>准入台账</t>
        </is>
      </c>
      <c r="F17" s="68" t="inlineStr"/>
      <c r="G17" s="68" t="inlineStr">
        <is>
          <t>导出客户准入台账和风险统计</t>
        </is>
      </c>
      <c r="H17" s="68" t="inlineStr">
        <is>
          <t>准入台账导出</t>
        </is>
      </c>
      <c r="I17" s="68" t="inlineStr">
        <is>
          <t>EO</t>
        </is>
      </c>
      <c r="J17" s="8">
        <f>IF(I17="ILF",IF($C$1="预估功能点",'模板使用说明&amp;基础参数'!$E$15,'模板使用说明&amp;基础参数'!$E$22),IF(I17="EIF",IF($C$1="预估功能点",'模板使用说明&amp;基础参数'!$E$16,'模板使用说明&amp;基础参数'!$E$23),IF(I17="EI",IF($C$1="预估功能点",'模板使用说明&amp;基础参数'!$E$17,'模板使用说明&amp;基础参数'!$E$24),IF(I17="EO",IF($C$1="预估功能点",'模板使用说明&amp;基础参数'!$E$18,'模板使用说明&amp;基础参数'!$E$25),IF(I17="EQ",IF($C$1="预估功能点",'模板使用说明&amp;基础参数'!$E$19,'模板使用说明&amp;基础参数'!$E$26),"")))))</f>
        <v/>
      </c>
      <c r="K17" s="74" t="inlineStr">
        <is>
          <t>中</t>
        </is>
      </c>
      <c r="L17" s="74" t="inlineStr">
        <is>
          <t>新增</t>
        </is>
      </c>
      <c r="M17" s="109">
        <f>IF(J17="","",IF(K17="高",IF(L17="删除",J17*'模板使用说明&amp;基础参数'!$E$5*'模板使用说明&amp;基础参数'!$E$12,IF(L17="修改",J17*'模板使用说明&amp;基础参数'!$E$5*'模板使用说明&amp;基础参数'!$E$11,J17*'模板使用说明&amp;基础参数'!$E$5*'模板使用说明&amp;基础参数'!$E$10)),IF(K17="中",IF(L17="删除",J17*'模板使用说明&amp;基础参数'!$E$6*'模板使用说明&amp;基础参数'!$E$12,IF(L17="修改",J17*'模板使用说明&amp;基础参数'!$E$6*'模板使用说明&amp;基础参数'!$E$11,J17*'模板使用说明&amp;基础参数'!$E$6*'模板使用说明&amp;基础参数'!$E$10)),IF(L17="删除",J17*'模板使用说明&amp;基础参数'!$E$7*'模板使用说明&amp;基础参数'!$E$12,IF(L17="修改",J17*'模板使用说明&amp;基础参数'!$E$7*'模板使用说明&amp;基础参数'!$E$11,J17*'模板使用说明&amp;基础参数'!$E$7*'模板使用说明&amp;基础参数'!$E$10)))))</f>
        <v/>
      </c>
      <c r="N17" s="76" t="inlineStr">
        <is>
          <t>类别原因：EO，导出客户准入台账和风险统计（准入台账导出），原始说明：派生输出，包含派生处理、通知、导出、统计或风险提示等输出，属于外部输出；复用原因：中，可复用部分既有能力，但需要新增或调整字段、规则、关联关系或处理逻辑；修改类型原因：新增，本次新增 准入台账导出 相关能力。</t>
        </is>
      </c>
    </row>
    <row r="18">
      <c r="A18" s="59" t="inlineStr">
        <is>
          <t>合计</t>
        </is>
      </c>
      <c r="B18" s="106" t="n"/>
      <c r="C18" s="106" t="n"/>
      <c r="D18" s="106" t="n"/>
      <c r="E18" s="106" t="n"/>
      <c r="F18" s="106" t="n"/>
      <c r="G18" s="106" t="n"/>
      <c r="H18" s="106" t="n"/>
      <c r="I18" s="96" t="n"/>
      <c r="J18" s="100">
        <f>SUM(J6:J17)</f>
        <v/>
      </c>
      <c r="K18" s="79" t="n"/>
      <c r="L18" s="96" t="n"/>
      <c r="M18" s="109">
        <f>SUM(M6:M17)</f>
        <v/>
      </c>
      <c r="N18" s="80" t="n"/>
      <c r="O18" t="inlineStr"/>
    </row>
  </sheetData>
  <mergeCells count="9">
    <mergeCell ref="K18:L18"/>
    <mergeCell ref="A2:B2"/>
    <mergeCell ref="A4:N4"/>
    <mergeCell ref="D1:N1"/>
    <mergeCell ref="A18:I18"/>
    <mergeCell ref="D2:N2"/>
    <mergeCell ref="A1:B1"/>
    <mergeCell ref="A3:B3"/>
    <mergeCell ref="D3:N3"/>
  </mergeCells>
  <dataValidations count="4">
    <dataValidation sqref="C1" showDropDown="0" showInputMessage="1" showErrorMessage="1" allowBlank="1" type="list">
      <formula1>"预估功能点,估算功能点"</formula1>
    </dataValidation>
    <dataValidation sqref="I6:I17" showDropDown="0" showInputMessage="1" showErrorMessage="1" allowBlank="1" type="list">
      <formula1>"ILF,EIF,EI,EO,EQ"</formula1>
    </dataValidation>
    <dataValidation sqref="K6:K17" showDropDown="0" showInputMessage="1" showErrorMessage="1" allowBlank="1" type="list">
      <formula1>"高,中,低"</formula1>
    </dataValidation>
    <dataValidation sqref="L6:L17" showDropDown="0" showInputMessage="1" showErrorMessage="1" allowBlank="1" type="list">
      <formula1>"新增,修改,删除"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F17" sqref="F17"/>
    </sheetView>
  </sheetViews>
  <sheetFormatPr baseColWidth="8" defaultColWidth="9" defaultRowHeight="14"/>
  <cols>
    <col width="10.6583333333333" customWidth="1" style="19" min="1" max="1"/>
    <col width="22.6583333333333" customWidth="1" style="19" min="2" max="2"/>
    <col width="15.0833333333333" customWidth="1" style="110" min="3" max="3"/>
    <col width="78.9083333333333" customWidth="1" style="19" min="4" max="4"/>
    <col width="7.75" customWidth="1" style="19" min="5" max="5"/>
    <col width="9" customWidth="1" style="19" min="6" max="16384"/>
  </cols>
  <sheetData>
    <row r="1">
      <c r="A1" s="88" t="inlineStr">
        <is>
          <t>规模估算结果（单位：功能点）</t>
        </is>
      </c>
      <c r="B1" s="96" t="n"/>
      <c r="C1" s="111">
        <f>'规模估算'!M18</f>
        <v/>
      </c>
      <c r="D1" s="24" t="inlineStr">
        <is>
          <t>未调整功能点</t>
        </is>
      </c>
    </row>
    <row r="2">
      <c r="A2" s="88" t="inlineStr">
        <is>
          <t>规模变更调整因子取值</t>
        </is>
      </c>
      <c r="B2" s="96" t="n"/>
      <c r="C2" s="111">
        <f>项目特征!D1</f>
        <v/>
      </c>
      <c r="D2" s="24">
        <f>项目特征!C1</f>
        <v/>
      </c>
    </row>
    <row r="3">
      <c r="A3" s="92" t="inlineStr">
        <is>
          <t>调整后规模（单位：功能点）</t>
        </is>
      </c>
      <c r="B3" s="96" t="n"/>
      <c r="C3" s="112">
        <f>C1*C2</f>
        <v/>
      </c>
      <c r="D3" s="28" t="inlineStr">
        <is>
          <t>调整后功能点</t>
        </is>
      </c>
    </row>
    <row r="4">
      <c r="A4" s="88" t="inlineStr">
        <is>
          <t>基准生产率（单位：人时/功能点）</t>
        </is>
      </c>
      <c r="B4" s="105" t="n"/>
      <c r="C4" s="113">
        <f>C5*0.8</f>
        <v/>
      </c>
      <c r="D4" s="24" t="inlineStr">
        <is>
          <t>下限</t>
        </is>
      </c>
    </row>
    <row r="5">
      <c r="A5" s="114" t="n"/>
      <c r="B5" s="115" t="n"/>
      <c r="C5" s="113" t="n">
        <v>7.88</v>
      </c>
      <c r="D5" s="24" t="inlineStr">
        <is>
          <t>中位数</t>
        </is>
      </c>
    </row>
    <row r="6">
      <c r="A6" s="116" t="n"/>
      <c r="B6" s="117" t="n"/>
      <c r="C6" s="113">
        <f>C5*1.2</f>
        <v/>
      </c>
      <c r="D6" s="24" t="inlineStr">
        <is>
          <t>上限</t>
        </is>
      </c>
    </row>
    <row r="7">
      <c r="A7" s="92" t="inlineStr">
        <is>
          <t>未调整工作量（单位：人天）</t>
        </is>
      </c>
      <c r="B7" s="105" t="n"/>
      <c r="C7" s="111">
        <f>C3*C4/8</f>
        <v/>
      </c>
      <c r="D7" s="28" t="inlineStr">
        <is>
          <t>下限</t>
        </is>
      </c>
      <c r="G7" s="118" t="n"/>
    </row>
    <row r="8">
      <c r="A8" s="114" t="n"/>
      <c r="B8" s="115" t="n"/>
      <c r="C8" s="111">
        <f>C3*C5/8</f>
        <v/>
      </c>
      <c r="D8" s="28" t="inlineStr">
        <is>
          <t>中值</t>
        </is>
      </c>
      <c r="G8" s="118" t="n"/>
    </row>
    <row r="9">
      <c r="A9" s="116" t="n"/>
      <c r="B9" s="117" t="n"/>
      <c r="C9" s="111">
        <f>C3*C6/8</f>
        <v/>
      </c>
      <c r="D9" s="28" t="inlineStr">
        <is>
          <t>上限</t>
        </is>
      </c>
      <c r="G9" s="118" t="n"/>
    </row>
    <row r="10">
      <c r="A10" s="43" t="inlineStr">
        <is>
          <t>调整因子</t>
        </is>
      </c>
      <c r="B10" s="22" t="inlineStr">
        <is>
          <t>应用类型</t>
        </is>
      </c>
      <c r="C10" s="111">
        <f>项目特征!D2</f>
        <v/>
      </c>
      <c r="D10" s="24">
        <f>IFERROR(项目特征!C2&amp;":"&amp;VLOOKUP(项目特征!C2,'模板使用说明&amp;基础参数'!$G$10:$H$16,2,FALSE),"")</f>
        <v/>
      </c>
    </row>
    <row r="11">
      <c r="A11" s="101" t="n"/>
      <c r="B11" s="22" t="inlineStr">
        <is>
          <t>非功能性特征</t>
        </is>
      </c>
      <c r="C11" s="119">
        <f>1+0.025*SUM(项目特征!D3:项目特征!D6)</f>
        <v/>
      </c>
      <c r="D11" s="24">
        <f>IFERROR(B11&amp;"=("&amp;项目特征!B3&amp;项目特征!D3&amp;"+"&amp;项目特征!B4&amp;项目特征!D4&amp;"+"&amp;项目特征!B5&amp;项目特征!D5&amp;"+"&amp;项目特征!B6&amp;项目特征!D6&amp;")*0.025+1","")</f>
        <v/>
      </c>
    </row>
    <row r="12">
      <c r="A12" s="101" t="n"/>
      <c r="B12" s="22" t="inlineStr">
        <is>
          <t>完整性级别</t>
        </is>
      </c>
      <c r="C12" s="111">
        <f>项目特征!D7</f>
        <v/>
      </c>
      <c r="D12" s="24">
        <f>项目特征!C7</f>
        <v/>
      </c>
    </row>
    <row r="13">
      <c r="A13" s="101" t="n"/>
      <c r="B13" s="22" t="inlineStr">
        <is>
          <t>开发语言</t>
        </is>
      </c>
      <c r="C13" s="111">
        <f>项目特征!D8</f>
        <v/>
      </c>
      <c r="D13" s="24">
        <f>项目特征!C8</f>
        <v/>
      </c>
    </row>
    <row r="14">
      <c r="A14" s="101" t="n"/>
      <c r="B14" s="22" t="inlineStr">
        <is>
          <t>开发团队背景</t>
        </is>
      </c>
      <c r="C14" s="111">
        <f>项目特征!D9</f>
        <v/>
      </c>
      <c r="D14" s="24">
        <f>项目特征!C9</f>
        <v/>
      </c>
    </row>
    <row r="15" ht="15" customHeight="1">
      <c r="A15" s="101" t="n"/>
      <c r="B15" s="22" t="inlineStr">
        <is>
          <t>开发平台</t>
        </is>
      </c>
      <c r="C15" s="111">
        <f>项目特征!D10</f>
        <v/>
      </c>
      <c r="D15" s="28">
        <f>项目特征!C10</f>
        <v/>
      </c>
    </row>
    <row r="16" ht="15" customHeight="1">
      <c r="A16" s="92" t="inlineStr">
        <is>
          <t>调整后工作量（单位：人天）</t>
        </is>
      </c>
      <c r="B16" s="105" t="n"/>
      <c r="C16" s="120">
        <f>C7*C10*C11*C12*C13*C14*C15</f>
        <v/>
      </c>
      <c r="D16" s="28" t="inlineStr">
        <is>
          <t>下限</t>
        </is>
      </c>
    </row>
    <row r="17">
      <c r="A17" s="114" t="n"/>
      <c r="B17" s="115" t="n"/>
      <c r="C17" s="121">
        <f>C8*C10*C11*C12*C13*C14*C15</f>
        <v/>
      </c>
      <c r="D17" s="28" t="inlineStr">
        <is>
          <t>中值</t>
        </is>
      </c>
    </row>
    <row r="18">
      <c r="A18" s="116" t="n"/>
      <c r="B18" s="117" t="n"/>
      <c r="C18" s="120">
        <f>C9*C10*C11*C12*C13*C14*C15</f>
        <v/>
      </c>
      <c r="D18" s="28" t="inlineStr">
        <is>
          <t>上限</t>
        </is>
      </c>
    </row>
    <row r="19">
      <c r="A19" s="88" t="inlineStr">
        <is>
          <t>人月基准单价（单位：万元/人月）</t>
        </is>
      </c>
      <c r="B19" s="96" t="n"/>
      <c r="C19" s="122" t="n">
        <v>2.5</v>
      </c>
      <c r="D19" s="24" t="inlineStr">
        <is>
          <t>人月单价，不包含直接非人力成本</t>
        </is>
      </c>
    </row>
    <row r="20">
      <c r="A20" s="99" t="inlineStr">
        <is>
          <t>基准报价（单位：万元）
（不包含直接非人力成本）</t>
        </is>
      </c>
      <c r="B20" s="105" t="n"/>
      <c r="C20" s="120">
        <f>C16*C19/21.75</f>
        <v/>
      </c>
      <c r="D20" s="28" t="inlineStr">
        <is>
          <t>下限</t>
        </is>
      </c>
    </row>
    <row r="21">
      <c r="A21" s="114" t="n"/>
      <c r="B21" s="115" t="n"/>
      <c r="C21" s="121">
        <f>C17*C19/21.75</f>
        <v/>
      </c>
      <c r="D21" s="28" t="inlineStr">
        <is>
          <t>中值</t>
        </is>
      </c>
    </row>
    <row r="22">
      <c r="A22" s="116" t="n"/>
      <c r="B22" s="117" t="n"/>
      <c r="C22" s="120">
        <f>C18*C19/21.75</f>
        <v/>
      </c>
      <c r="D22" s="28" t="inlineStr">
        <is>
          <t>上限</t>
        </is>
      </c>
    </row>
  </sheetData>
  <mergeCells count="9">
    <mergeCell ref="A16:B18"/>
    <mergeCell ref="A2:B2"/>
    <mergeCell ref="A20:B22"/>
    <mergeCell ref="A19:B19"/>
    <mergeCell ref="A10:A15"/>
    <mergeCell ref="A1:B1"/>
    <mergeCell ref="A4:B6"/>
    <mergeCell ref="A3:B3"/>
    <mergeCell ref="A7:B9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57"/>
  <sheetViews>
    <sheetView topLeftCell="C27" workbookViewId="0">
      <selection activeCell="D35" sqref="D35"/>
    </sheetView>
  </sheetViews>
  <sheetFormatPr baseColWidth="8" defaultColWidth="9" defaultRowHeight="14"/>
  <cols>
    <col width="10.75" customWidth="1" style="1" min="1" max="2"/>
    <col width="20.75" customWidth="1" style="1" min="3" max="3"/>
    <col width="10.75" customWidth="1" style="1" min="4" max="4"/>
    <col width="15.75" customWidth="1" style="1" min="5" max="5"/>
    <col width="10.75" customWidth="1" style="1" min="6" max="7"/>
    <col width="60.75" customWidth="1" style="1" min="8" max="8"/>
    <col width="10.75" customWidth="1" style="1" min="9" max="9"/>
    <col width="6.65833333333333" customWidth="1" style="1" min="10" max="10"/>
    <col width="9" customWidth="1" style="1" min="11" max="11"/>
    <col width="9" customWidth="1" style="1" min="12" max="16384"/>
  </cols>
  <sheetData>
    <row r="2">
      <c r="A2" s="1" t="inlineStr">
        <is>
          <t>本模板通常只填写白色区域；</t>
        </is>
      </c>
    </row>
    <row r="3">
      <c r="A3" s="1" t="inlineStr">
        <is>
          <t>填写顺序为：填写项目特征-&gt;规模估算-&gt;查看结果（“开发工作量估算”相关部分）</t>
        </is>
      </c>
    </row>
    <row r="4">
      <c r="A4" s="2" t="inlineStr">
        <is>
          <t>深灰</t>
        </is>
      </c>
      <c r="B4" s="1" t="inlineStr">
        <is>
          <t>模板固定部分，不得修改</t>
        </is>
      </c>
      <c r="D4" s="123" t="inlineStr">
        <is>
          <t>重用程度调整系数</t>
        </is>
      </c>
      <c r="E4" s="96" t="n"/>
    </row>
    <row r="5">
      <c r="A5" s="5" t="inlineStr">
        <is>
          <t>浅灰</t>
        </is>
      </c>
      <c r="B5" s="1" t="inlineStr">
        <is>
          <t>模板固定部分，在必要时统一修改</t>
        </is>
      </c>
      <c r="D5" s="6" t="inlineStr">
        <is>
          <t>高</t>
        </is>
      </c>
      <c r="E5" s="124" t="n">
        <v>0.333333333333333</v>
      </c>
    </row>
    <row r="6">
      <c r="A6" s="8" t="inlineStr">
        <is>
          <t>绿色</t>
        </is>
      </c>
      <c r="B6" s="1" t="inlineStr">
        <is>
          <t>自动计算或引用数据，不得修改</t>
        </is>
      </c>
      <c r="D6" s="6" t="inlineStr">
        <is>
          <t>中</t>
        </is>
      </c>
      <c r="E6" s="124" t="n">
        <v>0.666666666666667</v>
      </c>
    </row>
    <row r="7">
      <c r="A7" s="9" t="inlineStr">
        <is>
          <t>白色</t>
        </is>
      </c>
      <c r="B7" s="1" t="inlineStr">
        <is>
          <t>需填写或修改内容</t>
        </is>
      </c>
      <c r="D7" s="6" t="inlineStr">
        <is>
          <t>低</t>
        </is>
      </c>
      <c r="E7" s="124" t="n">
        <v>1</v>
      </c>
    </row>
    <row r="8">
      <c r="E8" s="10" t="n"/>
    </row>
    <row r="9">
      <c r="D9" s="123" t="inlineStr">
        <is>
          <t>修改类型调整系数</t>
        </is>
      </c>
      <c r="E9" s="96" t="n"/>
      <c r="G9" s="11" t="inlineStr">
        <is>
          <t>应用类型</t>
        </is>
      </c>
      <c r="H9" s="11" t="inlineStr">
        <is>
          <t>描述</t>
        </is>
      </c>
      <c r="I9" s="11" t="inlineStr">
        <is>
          <t>调整因子</t>
        </is>
      </c>
    </row>
    <row r="10" ht="28" customHeight="1">
      <c r="D10" s="6" t="inlineStr">
        <is>
          <t>新增</t>
        </is>
      </c>
      <c r="E10" s="124" t="n">
        <v>1</v>
      </c>
      <c r="G10" s="12" t="inlineStr">
        <is>
          <t>业务处理</t>
        </is>
      </c>
      <c r="H10" s="13" t="inlineStr">
        <is>
          <t>办公自动化系统；人事、会计、工资、销售等经营管理及业务处理用软件等</t>
        </is>
      </c>
      <c r="I10" s="125" t="n">
        <v>1</v>
      </c>
    </row>
    <row r="11">
      <c r="D11" s="6" t="inlineStr">
        <is>
          <t>修改</t>
        </is>
      </c>
      <c r="E11" s="124" t="n">
        <v>0.8</v>
      </c>
      <c r="G11" s="12" t="inlineStr">
        <is>
          <t>科技</t>
        </is>
      </c>
      <c r="H11" s="13" t="inlineStr">
        <is>
          <t>科学计算、模拟、统计分析等</t>
        </is>
      </c>
      <c r="I11" s="125" t="n">
        <v>1.2</v>
      </c>
    </row>
    <row r="12">
      <c r="D12" s="6" t="inlineStr">
        <is>
          <t>删除</t>
        </is>
      </c>
      <c r="E12" s="124" t="n">
        <v>0.2</v>
      </c>
      <c r="G12" s="12" t="inlineStr">
        <is>
          <t>多媒体</t>
        </is>
      </c>
      <c r="H12" s="13" t="inlineStr">
        <is>
          <t>图形、影像、声音等多媒体应用领域；地理信息系统；教育和娱乐等</t>
        </is>
      </c>
      <c r="I12" s="125" t="n">
        <v>1.3</v>
      </c>
    </row>
    <row r="13">
      <c r="E13" s="10" t="n"/>
      <c r="G13" s="12" t="inlineStr">
        <is>
          <t>智能信息</t>
        </is>
      </c>
      <c r="H13" s="14" t="inlineStr">
        <is>
          <t>自然语言处理、人工智能、专家系统等</t>
        </is>
      </c>
      <c r="I13" s="125" t="n">
        <v>1.5</v>
      </c>
    </row>
    <row r="14" ht="28" customHeight="1">
      <c r="D14" s="123" t="inlineStr">
        <is>
          <t>预估功能点</t>
        </is>
      </c>
      <c r="E14" s="96" t="n"/>
      <c r="G14" s="12" t="inlineStr">
        <is>
          <t>基础软件/支撑软件</t>
        </is>
      </c>
      <c r="H14" s="13" t="inlineStr">
        <is>
          <t>操作系统、数据库系统、集成开发环境、自动化开发/设计工具等/设计工具等</t>
        </is>
      </c>
      <c r="I14" s="125" t="n">
        <v>1.7</v>
      </c>
    </row>
    <row r="15">
      <c r="D15" s="6" t="inlineStr">
        <is>
          <t>ILF</t>
        </is>
      </c>
      <c r="E15" s="124" t="n">
        <v>35</v>
      </c>
      <c r="G15" s="12" t="inlineStr">
        <is>
          <t>通信控制</t>
        </is>
      </c>
      <c r="H15" s="13" t="inlineStr">
        <is>
          <t>通信协议、仿真、交换机软件、全球定位系统等</t>
        </is>
      </c>
      <c r="I15" s="125" t="n">
        <v>1.9</v>
      </c>
    </row>
    <row r="16">
      <c r="D16" s="6" t="inlineStr">
        <is>
          <t>EIF</t>
        </is>
      </c>
      <c r="E16" s="124" t="n">
        <v>15</v>
      </c>
      <c r="G16" s="12" t="inlineStr">
        <is>
          <t>流程控制</t>
        </is>
      </c>
      <c r="H16" s="13" t="inlineStr">
        <is>
          <t>实时控制、机器人控制、嵌入式软件等</t>
        </is>
      </c>
      <c r="I16" s="125" t="n">
        <v>2</v>
      </c>
    </row>
    <row r="17">
      <c r="D17" s="6" t="inlineStr">
        <is>
          <t>EI</t>
        </is>
      </c>
      <c r="E17" s="124" t="n"/>
    </row>
    <row r="18">
      <c r="D18" s="6" t="inlineStr">
        <is>
          <t>EO</t>
        </is>
      </c>
      <c r="E18" s="124" t="n"/>
      <c r="G18" s="11" t="inlineStr">
        <is>
          <t>调整因子</t>
        </is>
      </c>
      <c r="H18" s="11" t="inlineStr">
        <is>
          <t>判断标准</t>
        </is>
      </c>
      <c r="I18" s="11" t="inlineStr">
        <is>
          <t>调整因子</t>
        </is>
      </c>
    </row>
    <row r="19">
      <c r="D19" s="6" t="inlineStr">
        <is>
          <t>EQ</t>
        </is>
      </c>
      <c r="E19" s="124" t="n"/>
      <c r="G19" s="12" t="inlineStr">
        <is>
          <t>分布式处理</t>
        </is>
      </c>
      <c r="H19" s="13" t="inlineStr">
        <is>
          <t>没有明示对分布式处理的需求事项</t>
        </is>
      </c>
      <c r="I19" s="12" t="n">
        <v>-1</v>
      </c>
    </row>
    <row r="20">
      <c r="E20" s="10" t="n"/>
      <c r="G20" s="101" t="n"/>
      <c r="H20" s="13" t="inlineStr">
        <is>
          <t>通过网络进行客户端/服务器及网络基础计算机系统分布处理和传输</t>
        </is>
      </c>
      <c r="I20" s="12" t="n">
        <v>0</v>
      </c>
    </row>
    <row r="21">
      <c r="D21" s="123" t="inlineStr">
        <is>
          <t>估算功能点</t>
        </is>
      </c>
      <c r="E21" s="96" t="n"/>
      <c r="G21" s="102" t="n"/>
      <c r="H21" s="13" t="inlineStr">
        <is>
          <t>在多个服务器及处理器上同时相互执行计算机系统中的处理功能</t>
        </is>
      </c>
      <c r="I21" s="12" t="n">
        <v>1</v>
      </c>
    </row>
    <row r="22">
      <c r="D22" s="6" t="inlineStr">
        <is>
          <t>ILF</t>
        </is>
      </c>
      <c r="E22" s="124" t="n">
        <v>10</v>
      </c>
      <c r="G22" s="12" t="inlineStr">
        <is>
          <t>性能</t>
        </is>
      </c>
      <c r="H22" s="13" t="inlineStr">
        <is>
          <t>没有明示对性能的特别需求事项或活动，因此提供基本性能</t>
        </is>
      </c>
      <c r="I22" s="12" t="n">
        <v>-1</v>
      </c>
    </row>
    <row r="23" ht="28" customHeight="1">
      <c r="D23" s="6" t="inlineStr">
        <is>
          <t>EIF</t>
        </is>
      </c>
      <c r="E23" s="124" t="n">
        <v>7</v>
      </c>
      <c r="G23" s="101" t="n"/>
      <c r="H23" s="13" t="inlineStr">
        <is>
          <t>应答时间或处理率对高峰时间或所有业务时间都很重要，对连动系统结束处理时间有限制</t>
        </is>
      </c>
      <c r="I23" s="12" t="n">
        <v>0</v>
      </c>
    </row>
    <row r="24" ht="28" customHeight="1">
      <c r="D24" s="6" t="inlineStr">
        <is>
          <t>EI</t>
        </is>
      </c>
      <c r="E24" s="124" t="n">
        <v>4</v>
      </c>
      <c r="G24" s="102" t="n"/>
      <c r="H24" s="13" t="inlineStr">
        <is>
          <t>为满足性能需求事项，要求设计阶段进行性能分析，或在设计、开发阶段使用分析工具</t>
        </is>
      </c>
      <c r="I24" s="12" t="n">
        <v>1</v>
      </c>
    </row>
    <row r="25">
      <c r="D25" s="6" t="inlineStr">
        <is>
          <t>EO</t>
        </is>
      </c>
      <c r="E25" s="124" t="n">
        <v>5</v>
      </c>
      <c r="G25" s="12" t="inlineStr">
        <is>
          <t>可靠性</t>
        </is>
      </c>
      <c r="H25" s="13" t="inlineStr">
        <is>
          <t>没有明示对可靠性的特别需求事项或活动，因此提供基本的可靠性</t>
        </is>
      </c>
      <c r="I25" s="12" t="n">
        <v>-1</v>
      </c>
    </row>
    <row r="26">
      <c r="D26" s="6" t="inlineStr">
        <is>
          <t>EQ</t>
        </is>
      </c>
      <c r="E26" s="124" t="n">
        <v>4</v>
      </c>
      <c r="G26" s="101" t="n"/>
      <c r="H26" s="13" t="inlineStr">
        <is>
          <t>发生故障时可轻易修复，带来一定不便或经济损失</t>
        </is>
      </c>
      <c r="I26" s="12" t="n">
        <v>0</v>
      </c>
    </row>
    <row r="27">
      <c r="G27" s="102" t="n"/>
      <c r="H27" s="13" t="inlineStr">
        <is>
          <t>发生故障时很难修复，发生重大经济损失或有生命危害</t>
        </is>
      </c>
      <c r="I27" s="12" t="n">
        <v>1</v>
      </c>
    </row>
    <row r="28">
      <c r="D28" s="123" t="inlineStr">
        <is>
          <t>开发平台</t>
        </is>
      </c>
      <c r="E28" s="96" t="n"/>
      <c r="G28" s="12" t="inlineStr">
        <is>
          <t>多重站点</t>
        </is>
      </c>
      <c r="H28" s="13" t="inlineStr">
        <is>
          <t>在相同用途的硬件或软件环境下运行</t>
        </is>
      </c>
      <c r="I28" s="12" t="n">
        <v>-1</v>
      </c>
    </row>
    <row r="29">
      <c r="D29" s="6" t="inlineStr">
        <is>
          <t>否</t>
        </is>
      </c>
      <c r="E29" s="124" t="n">
        <v>0</v>
      </c>
      <c r="G29" s="101" t="n"/>
      <c r="H29" s="13" t="inlineStr">
        <is>
          <t>在用途类似的硬件或软件环境下运行</t>
        </is>
      </c>
      <c r="I29" s="12" t="n">
        <v>0</v>
      </c>
    </row>
    <row r="30">
      <c r="D30" s="6" t="inlineStr">
        <is>
          <t>是</t>
        </is>
      </c>
      <c r="E30" s="124" t="n">
        <v>0.05</v>
      </c>
      <c r="G30" s="102" t="n"/>
      <c r="H30" s="13" t="inlineStr">
        <is>
          <t>在不同用途的硬件或软件环境下运行</t>
        </is>
      </c>
      <c r="I30" s="12" t="n">
        <v>1</v>
      </c>
    </row>
    <row r="33">
      <c r="H33" s="11" t="inlineStr">
        <is>
          <t>开发语言</t>
        </is>
      </c>
      <c r="I33" s="11" t="inlineStr">
        <is>
          <t>调整因子</t>
        </is>
      </c>
    </row>
    <row r="34">
      <c r="H34" s="15" t="inlineStr">
        <is>
          <t>C及其他同级别语言/平台</t>
        </is>
      </c>
      <c r="I34" s="125" t="n">
        <v>1.2</v>
      </c>
    </row>
    <row r="35">
      <c r="H35" s="15" t="inlineStr">
        <is>
          <t>JAVA、C++、C#及其他同级别语言/平台</t>
        </is>
      </c>
      <c r="I35" s="125" t="n">
        <v>1</v>
      </c>
    </row>
    <row r="36">
      <c r="H36" s="15" t="inlineStr">
        <is>
          <t>PowerBuilder、ASP及其他同级别语言/平台</t>
        </is>
      </c>
      <c r="I36" s="125" t="n">
        <v>0.8</v>
      </c>
    </row>
    <row r="39">
      <c r="H39" s="11" t="inlineStr">
        <is>
          <t>开发团队背景</t>
        </is>
      </c>
      <c r="I39" s="11" t="inlineStr">
        <is>
          <t>调整因子</t>
        </is>
      </c>
    </row>
    <row r="40">
      <c r="H40" s="15" t="inlineStr">
        <is>
          <t>为本行业开发过类似的项目</t>
        </is>
      </c>
      <c r="I40" s="125" t="n">
        <v>0.8</v>
      </c>
    </row>
    <row r="41">
      <c r="H41" s="15" t="inlineStr">
        <is>
          <t>为其他行业开发过类似的项目，或为本行业开发过不同但相关的项目</t>
        </is>
      </c>
      <c r="I41" s="125" t="n">
        <v>1</v>
      </c>
    </row>
    <row r="42">
      <c r="H42" s="15" t="inlineStr">
        <is>
          <t>没有同类项目的背景</t>
        </is>
      </c>
      <c r="I42" s="125" t="n">
        <v>1.2</v>
      </c>
    </row>
    <row r="44">
      <c r="H44" s="11" t="inlineStr">
        <is>
          <t>完整性级别</t>
        </is>
      </c>
      <c r="I44" s="11" t="inlineStr">
        <is>
          <t>调整因子</t>
        </is>
      </c>
    </row>
    <row r="45">
      <c r="H45" s="15" t="inlineStr">
        <is>
          <t>没有明确的完整性级别或等级为C/D</t>
        </is>
      </c>
      <c r="I45" s="125" t="n">
        <v>1</v>
      </c>
    </row>
    <row r="46">
      <c r="H46" s="15" t="inlineStr">
        <is>
          <t>完整性级别为A/B同时为达成完整性级别要求采取了特殊的设计及实现方式</t>
        </is>
      </c>
      <c r="I46" s="125" t="n">
        <v>1.1</v>
      </c>
    </row>
    <row r="47" ht="28" customHeight="1">
      <c r="H47" s="15" t="inlineStr">
        <is>
          <t>完整性级别为A同时为达成完整性级别要求在软件开发全生命周期均采取了特定、明确的措施</t>
        </is>
      </c>
      <c r="I47" s="125" t="n">
        <v>1.3</v>
      </c>
    </row>
    <row r="49">
      <c r="H49" s="123" t="inlineStr">
        <is>
          <t>规模变更调整因子</t>
        </is>
      </c>
      <c r="I49" s="96" t="n"/>
    </row>
    <row r="50">
      <c r="H50" s="16" t="inlineStr">
        <is>
          <t>估算早期</t>
        </is>
      </c>
      <c r="I50" s="126" t="n">
        <v>1.39</v>
      </c>
    </row>
    <row r="51">
      <c r="H51" s="16" t="inlineStr">
        <is>
          <t>估算中期</t>
        </is>
      </c>
      <c r="I51" s="126" t="n">
        <v>1.21</v>
      </c>
    </row>
    <row r="52">
      <c r="H52" s="16" t="inlineStr">
        <is>
          <t>估算晚期</t>
        </is>
      </c>
      <c r="I52" s="126" t="n">
        <v>1.1</v>
      </c>
    </row>
    <row r="53">
      <c r="H53" s="16" t="inlineStr">
        <is>
          <t>项目交付后及运维阶段</t>
        </is>
      </c>
      <c r="I53" s="126" t="n">
        <v>1</v>
      </c>
    </row>
    <row r="55">
      <c r="H55" s="11" t="inlineStr">
        <is>
          <t>开发团队背景</t>
        </is>
      </c>
      <c r="I55" s="11" t="inlineStr">
        <is>
          <t>调整因子</t>
        </is>
      </c>
    </row>
    <row r="56">
      <c r="H56" s="15" t="inlineStr">
        <is>
          <t>常规开发</t>
        </is>
      </c>
      <c r="I56" s="125" t="n">
        <v>1</v>
      </c>
    </row>
    <row r="57">
      <c r="H57" s="15" t="inlineStr">
        <is>
          <t>低代码开发</t>
        </is>
      </c>
      <c r="I57" s="125" t="n">
        <v>0.2</v>
      </c>
    </row>
  </sheetData>
  <mergeCells count="10">
    <mergeCell ref="G22:G24"/>
    <mergeCell ref="G25:G27"/>
    <mergeCell ref="H49:I49"/>
    <mergeCell ref="D28:E28"/>
    <mergeCell ref="D14:E14"/>
    <mergeCell ref="D4:E4"/>
    <mergeCell ref="G19:G21"/>
    <mergeCell ref="G28:G30"/>
    <mergeCell ref="D9:E9"/>
    <mergeCell ref="D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subject xmlns:dc="http://purl.org/dc/elements/1.1/">开发费用评估</dc:subject>
  <dcterms:created xmlns:dcterms="http://purl.org/dc/terms/" xmlns:xsi="http://www.w3.org/2001/XMLSchema-instance" xsi:type="dcterms:W3CDTF">2015-06-07T10:19:00Z</dcterms:created>
  <dcterms:modified xmlns:dcterms="http://purl.org/dc/terms/" xmlns:xsi="http://www.w3.org/2001/XMLSchema-instance" xsi:type="dcterms:W3CDTF">2026-07-06T16:03:13Z</dcterms:modified>
  <cp:lastModifiedBy>心向阳光</cp:lastModifiedBy>
  <cp:category>模板</cp:categor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FB37B939636F489798FF3F0BCAF36F55_13</vt:lpwstr>
  </property>
  <property name="KSOProductBuildVer" fmtid="{D5CDD505-2E9C-101B-9397-08002B2CF9AE}" pid="3">
    <vt:lpwstr xmlns:vt="http://schemas.openxmlformats.org/officeDocument/2006/docPropsVTypes">2052-12.1.0.22529</vt:lpwstr>
  </property>
  <property name="KSOReadingLayout" fmtid="{D5CDD505-2E9C-101B-9397-08002B2CF9AE}" pid="4">
    <vt:bool xmlns:vt="http://schemas.openxmlformats.org/officeDocument/2006/docPropsVTypes">1</vt:bool>
  </property>
</Properties>
</file>