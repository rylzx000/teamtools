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项目特征" sheetId="4" r:id="rId1"/>
    <sheet name="规模估算" sheetId="1" r:id="rId2"/>
    <sheet name="开发费用估算" sheetId="2" r:id="rId3"/>
    <sheet name="模板使用说明&amp;基础参数" sheetId="3" r:id="rId4"/>
  </sheets>
  <definedNames>
    <definedName name="_xlnm._FilterDatabase" localSheetId="1" hidden="1">规模估算!$A$5:$N$16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<sst xmlns="http://schemas.openxmlformats.org/spreadsheetml/2006/main" count="174" uniqueCount="126">
  <si>
    <t>规模计数时机</t>
  </si>
  <si>
    <t>估算早期</t>
  </si>
  <si>
    <t>开发平台为（低代码开发）需填写此表格下拉选项</t>
  </si>
  <si>
    <t>下拉选项</t>
  </si>
  <si>
    <t>应用类型</t>
  </si>
  <si>
    <t>业务处理</t>
  </si>
  <si>
    <t>智能助手开发</t>
  </si>
  <si>
    <t>非功能性
特征</t>
  </si>
  <si>
    <t>分布式处理</t>
  </si>
  <si>
    <t>通过网络进行客户端/服务器及网络基础计算机系统分布处理和传输</t>
  </si>
  <si>
    <t>数据工厂开发</t>
  </si>
  <si>
    <t>性能</t>
  </si>
  <si>
    <t>为满足性能需求事项，要求设计阶段进行性能分析，或在设计、开发阶段使用分析工具</t>
  </si>
  <si>
    <t>聚合表</t>
  </si>
  <si>
    <t>可靠性</t>
  </si>
  <si>
    <t>发生故障时可轻易修复，带来一定不便或经济损失</t>
  </si>
  <si>
    <t>自定义前端组件/插件开发</t>
  </si>
  <si>
    <t>多重站点</t>
  </si>
  <si>
    <t>在用途类似的硬件或软件环境下运行</t>
  </si>
  <si>
    <t>与外部系统对接且需封装中间件</t>
  </si>
  <si>
    <t>完整性级别</t>
  </si>
  <si>
    <t>完整性级别为A同时为达成完整性级别要求在软件开发全生命周期均采取了特定、明确的措施</t>
  </si>
  <si>
    <t>原始数据无法直接使用需编写SQL</t>
  </si>
  <si>
    <t>开发语言</t>
  </si>
  <si>
    <t>JAVA、C++、C#及其他同级别语言/平台</t>
  </si>
  <si>
    <t>开发团队背景</t>
  </si>
  <si>
    <t>为本行业开发过类似的项目</t>
  </si>
  <si>
    <t>开发平台</t>
  </si>
  <si>
    <t>常规开发</t>
  </si>
  <si>
    <t>规模估算方法</t>
  </si>
  <si>
    <t>估算功能点</t>
  </si>
  <si>
    <t>请选择规模估算方法，缺省为“估算功能点”</t>
  </si>
  <si>
    <t>功能点合计</t>
  </si>
  <si>
    <t>单位：FP</t>
  </si>
  <si>
    <t>调整后功能点</t>
  </si>
  <si>
    <t>编号</t>
  </si>
  <si>
    <t>子系统</t>
  </si>
  <si>
    <t>一级模块</t>
  </si>
  <si>
    <t>二级模块</t>
  </si>
  <si>
    <t>三级模块</t>
  </si>
  <si>
    <t>四级模块</t>
  </si>
  <si>
    <t>功能项描述</t>
  </si>
  <si>
    <t>功能点计数项名称</t>
  </si>
  <si>
    <t>类别</t>
  </si>
  <si>
    <t>UFP</t>
  </si>
  <si>
    <t>重用程度</t>
  </si>
  <si>
    <t>修改类型</t>
  </si>
  <si>
    <t>US</t>
  </si>
  <si>
    <t>备注</t>
  </si>
  <si>
    <t>合计</t>
  </si>
  <si>
    <t>规模估算结果（单位：功能点）</t>
  </si>
  <si>
    <t>未调整功能点</t>
  </si>
  <si>
    <t>规模变更调整因子取值</t>
  </si>
  <si>
    <t>调整后规模（单位：功能点）</t>
  </si>
  <si>
    <t>基准生产率（单位：人时/功能点）</t>
  </si>
  <si>
    <t>下限</t>
  </si>
  <si>
    <t>中位数</t>
  </si>
  <si>
    <t>上限</t>
  </si>
  <si>
    <t>未调整工作量（单位：人天）</t>
  </si>
  <si>
    <t>中值</t>
  </si>
  <si>
    <t>调整因子</t>
  </si>
  <si>
    <t>非功能性特征</t>
  </si>
  <si>
    <t>调整后工作量（单位：人天）</t>
  </si>
  <si>
    <t>人月基准单价（单位：万元/人月）</t>
  </si>
  <si>
    <t>人月单价，不包含直接非人力成本</t>
  </si>
  <si>
    <t>基准报价（单位：万元）
（不包含直接非人力成本）</t>
  </si>
  <si>
    <t>本模板通常只填写白色区域；</t>
  </si>
  <si>
    <t>填写顺序为：填写项目特征-&gt;规模估算-&gt;查看结果（“开发工作量估算”相关部分）</t>
  </si>
  <si>
    <t>深灰</t>
  </si>
  <si>
    <t>模板固定部分，不得修改</t>
  </si>
  <si>
    <t>重用程度调整系数</t>
  </si>
  <si>
    <t>浅灰</t>
  </si>
  <si>
    <t>模板固定部分，在必要时统一修改</t>
  </si>
  <si>
    <t>高</t>
  </si>
  <si>
    <t>绿色</t>
  </si>
  <si>
    <t>自动计算或引用数据，不得修改</t>
  </si>
  <si>
    <t>中</t>
  </si>
  <si>
    <t>白色</t>
  </si>
  <si>
    <t>需填写或修改内容</t>
  </si>
  <si>
    <t>低</t>
  </si>
  <si>
    <t>修改类型调整系数</t>
  </si>
  <si>
    <t>描述</t>
  </si>
  <si>
    <t>新增</t>
  </si>
  <si>
    <t>办公自动化系统；人事、会计、工资、销售等经营管理及业务处理用软件等</t>
  </si>
  <si>
    <t>修改</t>
  </si>
  <si>
    <t>科技</t>
  </si>
  <si>
    <t>科学计算、模拟、统计分析等</t>
  </si>
  <si>
    <t>删除</t>
  </si>
  <si>
    <t>多媒体</t>
  </si>
  <si>
    <t>图形、影像、声音等多媒体应用领域；地理信息系统；教育和娱乐等</t>
  </si>
  <si>
    <t>智能信息</t>
  </si>
  <si>
    <t>自然语言处理、人工智能、专家系统等</t>
  </si>
  <si>
    <t>预估功能点</t>
  </si>
  <si>
    <t>基础软件/支撑软件</t>
  </si>
  <si>
    <t>操作系统、数据库系统、集成开发环境、自动化开发/设计工具等/设计工具等</t>
  </si>
  <si>
    <t>ILF</t>
  </si>
  <si>
    <t>通信控制</t>
  </si>
  <si>
    <t>通信协议、仿真、交换机软件、全球定位系统等</t>
  </si>
  <si>
    <t>EIF</t>
  </si>
  <si>
    <t>流程控制</t>
  </si>
  <si>
    <t>实时控制、机器人控制、嵌入式软件等</t>
  </si>
  <si>
    <t>EI</t>
  </si>
  <si>
    <t>EO</t>
  </si>
  <si>
    <t>判断标准</t>
  </si>
  <si>
    <t>EQ</t>
  </si>
  <si>
    <t>没有明示对分布式处理的需求事项</t>
  </si>
  <si>
    <t>在多个服务器及处理器上同时相互执行计算机系统中的处理功能</t>
  </si>
  <si>
    <t>没有明示对性能的特别需求事项或活动，因此提供基本性能</t>
  </si>
  <si>
    <t>应答时间或处理率对高峰时间或所有业务时间都很重要，对连动系统结束处理时间有限制</t>
  </si>
  <si>
    <t>没有明示对可靠性的特别需求事项或活动，因此提供基本的可靠性</t>
  </si>
  <si>
    <t>发生故障时很难修复，发生重大经济损失或有生命危害</t>
  </si>
  <si>
    <t>在相同用途的硬件或软件环境下运行</t>
  </si>
  <si>
    <t>否</t>
  </si>
  <si>
    <t>是</t>
  </si>
  <si>
    <t>在不同用途的硬件或软件环境下运行</t>
  </si>
  <si>
    <t>C及其他同级别语言/平台</t>
  </si>
  <si>
    <t>PowerBuilder、ASP及其他同级别语言/平台</t>
  </si>
  <si>
    <t>为其他行业开发过类似的项目，或为本行业开发过不同但相关的项目</t>
  </si>
  <si>
    <t>没有同类项目的背景</t>
  </si>
  <si>
    <t>没有明确的完整性级别或等级为C/D</t>
  </si>
  <si>
    <t>完整性级别为A/B同时为达成完整性级别要求采取了特殊的设计及实现方式</t>
  </si>
  <si>
    <t>规模变更调整因子</t>
  </si>
  <si>
    <t>估算中期</t>
  </si>
  <si>
    <t>估算晚期</t>
  </si>
  <si>
    <t>项目交付后及运维阶段</t>
  </si>
  <si>
    <t>低代码开发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</si>
</sst>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.000_);[Red]\(0.000\)"/>
    <numFmt numFmtId="179" formatCode="0.0000_);[Red]\(0.0000\)"/>
    <numFmt numFmtId="180" formatCode="0_ "/>
    <numFmt numFmtId="181" formatCode="0.0_ "/>
    <numFmt numFmtId="182" formatCode="0.0_);[Red]\(0.0\)"/>
  </numFmts>
  <fonts count="32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1"/>
      <name val="宋体"/>
      <charset val="134"/>
    </font>
    <font>
      <sz val="11"/>
      <color rgb="FF000000"/>
      <name val="等线"/>
      <charset val="134"/>
      <scheme val="minor"/>
    </font>
    <font>
      <sz val="11"/>
      <color rgb="FFFF0000"/>
      <name val="宋体"/>
      <charset val="134"/>
    </font>
    <font>
      <b/>
      <sz val="11"/>
      <color theme="3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10"/>
      <name val="宋体"/>
      <charset val="134"/>
    </font>
    <font>
      <i/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853511154515"/>
        <bgColor indexed="64"/>
      </patternFill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3" borderId="17" applyNumberFormat="0" applyAlignment="0" applyProtection="0">
      <alignment vertical="center"/>
    </xf>
    <xf numFmtId="0" fontId="20" fillId="14" borderId="18" applyNumberFormat="0" applyAlignment="0" applyProtection="0">
      <alignment vertical="center"/>
    </xf>
    <xf numFmtId="0" fontId="21" fillId="14" borderId="17" applyNumberFormat="0" applyAlignment="0" applyProtection="0">
      <alignment vertical="center"/>
    </xf>
    <xf numFmtId="0" fontId="22" fillId="15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  <xf numFmtId="43" fontId="7" fillId="0" borderId="0" applyFont="0" applyFill="0" applyBorder="0" applyAlignment="0" applyProtection="0">
      <alignment vertical="center"/>
    </xf>
  </cellStyleXfs>
  <cellXfs count="96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3" xfId="51" applyFont="1" applyFill="1" applyBorder="1" applyAlignment="1">
      <alignment horizontal="center" vertical="center"/>
    </xf>
    <xf numFmtId="176" fontId="1" fillId="4" borderId="3" xfId="51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2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justify" vertical="center" wrapText="1"/>
    </xf>
    <xf numFmtId="10" fontId="1" fillId="4" borderId="3" xfId="0" applyNumberFormat="1" applyFont="1" applyFill="1" applyBorder="1" applyAlignment="1">
      <alignment horizontal="justify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/>
    </xf>
    <xf numFmtId="176" fontId="1" fillId="4" borderId="3" xfId="0" applyNumberFormat="1" applyFont="1" applyFill="1" applyBorder="1" applyAlignment="1">
      <alignment horizontal="center" vertical="center" wrapText="1"/>
    </xf>
    <xf numFmtId="176" fontId="1" fillId="4" borderId="3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7" fontId="1" fillId="5" borderId="3" xfId="0" applyNumberFormat="1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7" fontId="2" fillId="5" borderId="3" xfId="0" applyNumberFormat="1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77" fontId="1" fillId="4" borderId="3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6" fontId="4" fillId="0" borderId="0" xfId="0" applyNumberFormat="1" applyFont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78" fontId="1" fillId="5" borderId="3" xfId="0" applyNumberFormat="1" applyFont="1" applyFill="1" applyBorder="1" applyAlignment="1">
      <alignment vertical="center"/>
    </xf>
    <xf numFmtId="177" fontId="5" fillId="5" borderId="3" xfId="0" applyNumberFormat="1" applyFont="1" applyFill="1" applyBorder="1" applyAlignment="1">
      <alignment vertical="center"/>
    </xf>
    <xf numFmtId="177" fontId="6" fillId="5" borderId="3" xfId="0" applyNumberFormat="1" applyFont="1" applyFill="1" applyBorder="1" applyAlignment="1">
      <alignment vertical="center"/>
    </xf>
    <xf numFmtId="179" fontId="1" fillId="4" borderId="3" xfId="0" applyNumberFormat="1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180" fontId="8" fillId="7" borderId="3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0" fillId="2" borderId="12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76" fontId="1" fillId="5" borderId="3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180" fontId="1" fillId="5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horizontal="center" vertical="center"/>
    </xf>
    <xf numFmtId="176" fontId="1" fillId="5" borderId="3" xfId="0" applyNumberFormat="1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81" fontId="1" fillId="5" borderId="3" xfId="0" applyNumberFormat="1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left" vertical="center"/>
    </xf>
    <xf numFmtId="182" fontId="1" fillId="5" borderId="3" xfId="0" applyNumberFormat="1" applyFont="1" applyFill="1" applyBorder="1" applyAlignment="1">
      <alignment horizontal="center" vertical="center"/>
    </xf>
    <xf numFmtId="177" fontId="1" fillId="5" borderId="3" xfId="0" applyNumberFormat="1" applyFont="1" applyFill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36 2" xfId="50"/>
    <cellStyle name="常规 3" xfId="51"/>
    <cellStyle name="常规_Sheet1_1" xfId="52"/>
    <cellStyle name="千位分隔 2 2 2 2" xfId="53"/>
  </cellStyles>
  <tableStyles count="0" defaultTableStyle="TableStyleMedium2" defaultPivotStyle="PivotStyleLight16"/>
  <colors>
    <mruColors>
      <color rgb="00C4D79B"/>
      <color rgb="00A6A6A6"/>
      <color rgb="00C4D7C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F10" sqref="F10"/>
    </sheetView>
  </sheetViews>
  <sheetFormatPr defaultColWidth="9" defaultRowHeight="14" outlineLevelCol="6"/>
  <cols>
    <col min="1" max="1" width="11.3333333333333" style="1" customWidth="1"/>
    <col min="2" max="2" width="10.8333333333333" style="1" customWidth="1"/>
    <col min="3" max="3" width="40.75" style="1" customWidth="1"/>
    <col min="4" max="4" width="10.75" style="9" customWidth="1"/>
    <col min="5" max="5" width="11.9166666666667" style="1" customWidth="1"/>
    <col min="6" max="6" width="48.75" style="1" customWidth="1"/>
    <col min="7" max="16384" width="9" style="1"/>
  </cols>
  <sheetData>
    <row r="1" spans="1:7">
      <c r="A1" s="25" t="s">
        <v>0</v>
      </c>
      <c r="B1" s="26"/>
      <c r="C1" s="81" t="s">
        <v>1</v>
      </c>
      <c r="D1" s="82">
        <f>IF(项目特征!C1='模板使用说明&amp;基础参数'!H50,'模板使用说明&amp;基础参数'!I50,IF(项目特征!C1='模板使用说明&amp;基础参数'!H51,'模板使用说明&amp;基础参数'!I51,IF(项目特征!C1='模板使用说明&amp;基础参数'!H52,'模板使用说明&amp;基础参数'!I52,IF(项目特征!C1='模板使用说明&amp;基础参数'!H53,'模板使用说明&amp;基础参数'!I53,1))))</f>
        <v>1.39</v>
      </c>
      <c r="F1" s="83" t="s">
        <v>2</v>
      </c>
      <c r="G1" s="83" t="s">
        <v>3</v>
      </c>
    </row>
    <row r="2" spans="1:7">
      <c r="A2" s="25" t="s">
        <v>4</v>
      </c>
      <c r="B2" s="26"/>
      <c r="C2" s="81" t="s">
        <v>5</v>
      </c>
      <c r="D2" s="84">
        <f>VLOOKUP($C$2,'模板使用说明&amp;基础参数'!$G$9:$I$16,3,FALSE)</f>
        <v>1</v>
      </c>
      <c r="F2" s="85" t="s">
        <v>6</v>
      </c>
      <c r="G2" s="86"/>
    </row>
    <row r="3" ht="28" spans="1:7">
      <c r="A3" s="87" t="s">
        <v>7</v>
      </c>
      <c r="B3" s="88" t="s">
        <v>8</v>
      </c>
      <c r="C3" s="89" t="s">
        <v>9</v>
      </c>
      <c r="D3" s="78">
        <f>IF(C3='模板使用说明&amp;基础参数'!H19,'模板使用说明&amp;基础参数'!I19,IF(C3='模板使用说明&amp;基础参数'!H20,'模板使用说明&amp;基础参数'!I20,IF(C3='模板使用说明&amp;基础参数'!H21,'模板使用说明&amp;基础参数'!I21,0)))</f>
        <v>0</v>
      </c>
      <c r="F3" s="85" t="s">
        <v>10</v>
      </c>
      <c r="G3" s="86"/>
    </row>
    <row r="4" ht="28" spans="1:7">
      <c r="A4" s="90"/>
      <c r="B4" s="88" t="s">
        <v>11</v>
      </c>
      <c r="C4" s="89" t="s">
        <v>12</v>
      </c>
      <c r="D4" s="78">
        <f>IF(C4='模板使用说明&amp;基础参数'!H22,'模板使用说明&amp;基础参数'!I22,IF(C4='模板使用说明&amp;基础参数'!H23,'模板使用说明&amp;基础参数'!I23,IF(C4='模板使用说明&amp;基础参数'!H24,'模板使用说明&amp;基础参数'!I24,0)))</f>
        <v>1</v>
      </c>
      <c r="F4" s="85" t="s">
        <v>13</v>
      </c>
      <c r="G4" s="86"/>
    </row>
    <row r="5" ht="28" spans="1:7">
      <c r="A5" s="90"/>
      <c r="B5" s="88" t="s">
        <v>14</v>
      </c>
      <c r="C5" s="89" t="s">
        <v>15</v>
      </c>
      <c r="D5" s="78">
        <f>IF(C5='模板使用说明&amp;基础参数'!H25,'模板使用说明&amp;基础参数'!I25,IF(C5='模板使用说明&amp;基础参数'!H26,'模板使用说明&amp;基础参数'!I26,IF(C5='模板使用说明&amp;基础参数'!H27,'模板使用说明&amp;基础参数'!I27,0)))</f>
        <v>0</v>
      </c>
      <c r="F5" s="85" t="s">
        <v>16</v>
      </c>
      <c r="G5" s="86"/>
    </row>
    <row r="6" spans="1:7">
      <c r="A6" s="91"/>
      <c r="B6" s="88" t="s">
        <v>17</v>
      </c>
      <c r="C6" s="89" t="s">
        <v>18</v>
      </c>
      <c r="D6" s="78">
        <f>IF(C6='模板使用说明&amp;基础参数'!H28,'模板使用说明&amp;基础参数'!I28,IF(C6='模板使用说明&amp;基础参数'!H29,'模板使用说明&amp;基础参数'!I29,IF(C6='模板使用说明&amp;基础参数'!H30,'模板使用说明&amp;基础参数'!I30,0)))</f>
        <v>0</v>
      </c>
      <c r="F6" s="85" t="s">
        <v>19</v>
      </c>
      <c r="G6" s="86"/>
    </row>
    <row r="7" ht="28" spans="1:7">
      <c r="A7" s="92" t="s">
        <v>20</v>
      </c>
      <c r="B7" s="92"/>
      <c r="C7" s="89" t="s">
        <v>21</v>
      </c>
      <c r="D7" s="84">
        <f>IF(C7='模板使用说明&amp;基础参数'!H45,'模板使用说明&amp;基础参数'!I45,IF(C7='模板使用说明&amp;基础参数'!H46,'模板使用说明&amp;基础参数'!I46,IF(C7='模板使用说明&amp;基础参数'!H47,'模板使用说明&amp;基础参数'!I47,1)))</f>
        <v>1.3</v>
      </c>
      <c r="F7" s="85" t="s">
        <v>22</v>
      </c>
      <c r="G7" s="86"/>
    </row>
    <row r="8" spans="1:4">
      <c r="A8" s="92" t="s">
        <v>23</v>
      </c>
      <c r="B8" s="92"/>
      <c r="C8" s="93" t="s">
        <v>24</v>
      </c>
      <c r="D8" s="94">
        <f>IF(C8='模板使用说明&amp;基础参数'!H34,'模板使用说明&amp;基础参数'!I34,IF(C8='模板使用说明&amp;基础参数'!H35,'模板使用说明&amp;基础参数'!I35,IF(C8='模板使用说明&amp;基础参数'!H36,'模板使用说明&amp;基础参数'!I36,1)))</f>
        <v>1</v>
      </c>
    </row>
    <row r="9" spans="1:4">
      <c r="A9" s="92" t="s">
        <v>25</v>
      </c>
      <c r="B9" s="92"/>
      <c r="C9" s="89" t="s">
        <v>26</v>
      </c>
      <c r="D9" s="94">
        <f>IF(C9='模板使用说明&amp;基础参数'!H40,'模板使用说明&amp;基础参数'!I40,IF(C9='模板使用说明&amp;基础参数'!H41,'模板使用说明&amp;基础参数'!I41,IF(C9='模板使用说明&amp;基础参数'!H42,'模板使用说明&amp;基础参数'!I42,1)))</f>
        <v>0.8</v>
      </c>
    </row>
    <row r="10" spans="1:4">
      <c r="A10" s="92" t="s">
        <v>27</v>
      </c>
      <c r="B10" s="92"/>
      <c r="C10" s="89" t="s">
        <v>28</v>
      </c>
      <c r="D10" s="95" cm="1">
        <f t="array" ref="D10">IF(C10='模板使用说明&amp;基础参数'!H56,'模板使用说明&amp;基础参数'!I56,IF(C10='模板使用说明&amp;基础参数'!H57,'模板使用说明&amp;基础参数'!I57,1))+IF(C10='模板使用说明&amp;基础参数'!H57,SUM(IF(G2:G7="是",0.05,0)),0)</f>
        <v>1</v>
      </c>
    </row>
  </sheetData>
  <mergeCells count="7">
    <mergeCell ref="A1:B1"/>
    <mergeCell ref="A2:B2"/>
    <mergeCell ref="A7:B7"/>
    <mergeCell ref="A8:B8"/>
    <mergeCell ref="A9:B9"/>
    <mergeCell ref="A10:B10"/>
    <mergeCell ref="A3:A6"/>
  </mergeCells>
  <dataValidations count="11">
    <dataValidation type="list" allowBlank="1" showInputMessage="1" showErrorMessage="1" sqref="C1">
      <formula1>'模板使用说明&amp;基础参数'!$H$50:$H$53</formula1>
    </dataValidation>
    <dataValidation type="list" allowBlank="1" showInputMessage="1" showErrorMessage="1" sqref="C2">
      <formula1>'模板使用说明&amp;基础参数'!$G$10:$G$16</formula1>
    </dataValidation>
    <dataValidation type="list" allowBlank="1" showInputMessage="1" showErrorMessage="1" sqref="C3">
      <formula1>'模板使用说明&amp;基础参数'!$H$19:$H$21</formula1>
    </dataValidation>
    <dataValidation type="list" allowBlank="1" showInputMessage="1" showErrorMessage="1" sqref="C4">
      <formula1>'模板使用说明&amp;基础参数'!$H$22:$H$24</formula1>
    </dataValidation>
    <dataValidation type="list" allowBlank="1" showInputMessage="1" showErrorMessage="1" sqref="C5">
      <formula1>'模板使用说明&amp;基础参数'!$H$25:$H$27</formula1>
    </dataValidation>
    <dataValidation type="list" allowBlank="1" showInputMessage="1" showErrorMessage="1" sqref="C6">
      <formula1>'模板使用说明&amp;基础参数'!$H$28:$H$30</formula1>
    </dataValidation>
    <dataValidation type="list" allowBlank="1" showInputMessage="1" showErrorMessage="1" sqref="C7">
      <formula1>'模板使用说明&amp;基础参数'!$H$45:$H$47</formula1>
    </dataValidation>
    <dataValidation type="list" allowBlank="1" showInputMessage="1" showErrorMessage="1" sqref="C8">
      <formula1>'模板使用说明&amp;基础参数'!$H$34:$H$36</formula1>
    </dataValidation>
    <dataValidation type="list" allowBlank="1" showInputMessage="1" showErrorMessage="1" sqref="C9">
      <formula1>'模板使用说明&amp;基础参数'!$H$40:$H$42</formula1>
    </dataValidation>
    <dataValidation type="list" allowBlank="1" showInputMessage="1" showErrorMessage="1" sqref="C10">
      <formula1>'模板使用说明&amp;基础参数'!$H$56:$H$57</formula1>
    </dataValidation>
    <dataValidation type="list" allowBlank="1" showInputMessage="1" showErrorMessage="1" sqref="G2:G7">
      <formula1>'模板使用说明&amp;基础参数'!$D$29:$D$30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workbookViewId="0">
      <pane ySplit="5" topLeftCell="A6" activePane="bottomLeft" state="frozen"/>
      <selection/>
      <selection pane="bottomLeft" activeCell="F11" sqref="F11"/>
    </sheetView>
  </sheetViews>
  <sheetFormatPr defaultColWidth="9" defaultRowHeight="14"/>
  <cols>
    <col min="1" max="1" width="6.65833333333333" style="50" customWidth="1"/>
    <col min="2" max="2" width="8.08333333333333" style="50" customWidth="1"/>
    <col min="3" max="5" width="12.6583333333333" style="50" customWidth="1"/>
    <col min="6" max="7" width="16.75" style="50" customWidth="1"/>
    <col min="8" max="8" width="18.9083333333333" style="51" customWidth="1"/>
    <col min="9" max="10" width="6.65833333333333" style="52" customWidth="1"/>
    <col min="11" max="11" width="5.08333333333333" style="53" customWidth="1"/>
    <col min="12" max="12" width="5.40833333333333" style="53" customWidth="1"/>
    <col min="13" max="13" width="8.65833333333333" style="52" customWidth="1"/>
    <col min="14" max="14" width="20.6583333333333" style="52" customWidth="1"/>
    <col min="15" max="15" width="4.75" style="52" customWidth="1"/>
    <col min="16" max="16384" width="9" style="52"/>
  </cols>
  <sheetData>
    <row r="1" spans="1:14">
      <c r="A1" s="54" t="s">
        <v>29</v>
      </c>
      <c r="B1" s="54"/>
      <c r="C1" s="55" t="s">
        <v>30</v>
      </c>
      <c r="D1" s="56" t="s">
        <v>31</v>
      </c>
      <c r="E1" s="57"/>
      <c r="F1" s="58"/>
      <c r="G1" s="57"/>
      <c r="H1" s="57"/>
      <c r="I1" s="57"/>
      <c r="J1" s="57"/>
      <c r="K1" s="57"/>
      <c r="L1" s="70"/>
      <c r="M1" s="70"/>
      <c r="N1" s="71"/>
    </row>
    <row r="2" spans="1:14">
      <c r="A2" s="59" t="s">
        <v>32</v>
      </c>
      <c r="B2" s="59"/>
      <c r="C2" s="60">
        <f>J16</f>
        <v>0</v>
      </c>
      <c r="D2" s="56" t="s">
        <v>33</v>
      </c>
      <c r="E2" s="57"/>
      <c r="F2" s="57"/>
      <c r="G2" s="57"/>
      <c r="H2" s="57"/>
      <c r="I2" s="57"/>
      <c r="J2" s="57"/>
      <c r="K2" s="57"/>
      <c r="L2" s="57"/>
      <c r="M2" s="57"/>
      <c r="N2" s="72"/>
    </row>
    <row r="3" spans="1:14">
      <c r="A3" s="59" t="s">
        <v>34</v>
      </c>
      <c r="B3" s="59"/>
      <c r="C3" s="61">
        <f>M16</f>
        <v>0</v>
      </c>
      <c r="D3" s="56" t="s">
        <v>33</v>
      </c>
      <c r="E3" s="57"/>
      <c r="F3" s="57"/>
      <c r="G3" s="57"/>
      <c r="H3" s="57"/>
      <c r="I3" s="57"/>
      <c r="J3" s="57"/>
      <c r="K3" s="57"/>
      <c r="L3" s="57"/>
      <c r="M3" s="57"/>
      <c r="N3" s="72"/>
    </row>
    <row r="4" ht="13.5" customHeight="1" spans="1:14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73"/>
    </row>
    <row r="5" ht="28" spans="1:14">
      <c r="A5" s="59" t="s">
        <v>35</v>
      </c>
      <c r="B5" s="59" t="s">
        <v>36</v>
      </c>
      <c r="C5" s="59" t="s">
        <v>37</v>
      </c>
      <c r="D5" s="59" t="s">
        <v>38</v>
      </c>
      <c r="E5" s="64" t="s">
        <v>39</v>
      </c>
      <c r="F5" s="59" t="s">
        <v>40</v>
      </c>
      <c r="G5" s="65" t="s">
        <v>41</v>
      </c>
      <c r="H5" s="65" t="s">
        <v>42</v>
      </c>
      <c r="I5" s="59" t="s">
        <v>43</v>
      </c>
      <c r="J5" s="59" t="s">
        <v>44</v>
      </c>
      <c r="K5" s="59" t="s">
        <v>45</v>
      </c>
      <c r="L5" s="59" t="s">
        <v>46</v>
      </c>
      <c r="M5" s="59" t="s">
        <v>47</v>
      </c>
      <c r="N5" s="59" t="s">
        <v>48</v>
      </c>
    </row>
    <row r="6" spans="1:14">
      <c r="A6" s="66">
        <f t="shared" ref="A6:A15" si="0">ROW()-5</f>
        <v>1</v>
      </c>
      <c r="B6" s="67"/>
      <c r="C6" s="67"/>
      <c r="D6" s="67"/>
      <c r="E6" s="67"/>
      <c r="F6" s="67"/>
      <c r="G6" s="67"/>
      <c r="H6" s="67"/>
      <c r="I6" s="66"/>
      <c r="J6" s="8" t="str">
        <f>IF(I6="ILF",IF($C$1="预估功能点",'模板使用说明&amp;基础参数'!$E$15,'模板使用说明&amp;基础参数'!$E$22),IF(I6="EIF",IF($C$1="预估功能点",'模板使用说明&amp;基础参数'!$E$16,'模板使用说明&amp;基础参数'!$E$23),IF(I6="EI",IF($C$1="预估功能点",'模板使用说明&amp;基础参数'!$E$17,'模板使用说明&amp;基础参数'!$E$24),IF(I6="EO",IF($C$1="预估功能点",'模板使用说明&amp;基础参数'!$E$18,'模板使用说明&amp;基础参数'!$E$25),IF(I6="EQ",IF($C$1="预估功能点",'模板使用说明&amp;基础参数'!$E$19,'模板使用说明&amp;基础参数'!$E$26),"")))))</f>
        <v/>
      </c>
      <c r="K6" s="74"/>
      <c r="L6" s="74"/>
      <c r="M6" s="75" t="str">
        <f>IF(J6="","",IF(K6="高",IF(L6="删除",J6*'模板使用说明&amp;基础参数'!$E$5*'模板使用说明&amp;基础参数'!$E$12,IF(L6="修改",J6*'模板使用说明&amp;基础参数'!$E$5*'模板使用说明&amp;基础参数'!$E$11,J6*'模板使用说明&amp;基础参数'!$E$5*'模板使用说明&amp;基础参数'!$E$10)),IF(K6="中",IF(L6="删除",J6*'模板使用说明&amp;基础参数'!$E$6*'模板使用说明&amp;基础参数'!$E$12,IF(L6="修改",J6*'模板使用说明&amp;基础参数'!$E$6*'模板使用说明&amp;基础参数'!$E$11,J6*'模板使用说明&amp;基础参数'!$E$6*'模板使用说明&amp;基础参数'!$E$10)),IF(L6="删除",J6*'模板使用说明&amp;基础参数'!$E$7*'模板使用说明&amp;基础参数'!$E$12,IF(L6="修改",J6*'模板使用说明&amp;基础参数'!$E$7*'模板使用说明&amp;基础参数'!$E$11,J6*'模板使用说明&amp;基础参数'!$E$7*'模板使用说明&amp;基础参数'!$E$10)))))</f>
        <v/>
      </c>
      <c r="N6" s="76"/>
    </row>
    <row r="7" spans="1:14">
      <c r="A7" s="66">
        <f t="shared" si="0"/>
        <v>2</v>
      </c>
      <c r="B7" s="67"/>
      <c r="C7" s="67"/>
      <c r="D7" s="67"/>
      <c r="E7" s="67"/>
      <c r="F7" s="67"/>
      <c r="G7" s="67"/>
      <c r="H7" s="67"/>
      <c r="I7" s="66"/>
      <c r="J7" s="8" t="str">
        <f>IF(I7="ILF",IF($C$1="预估功能点",'模板使用说明&amp;基础参数'!$E$15,'模板使用说明&amp;基础参数'!$E$22),IF(I7="EIF",IF($C$1="预估功能点",'模板使用说明&amp;基础参数'!$E$16,'模板使用说明&amp;基础参数'!$E$23),IF(I7="EI",IF($C$1="预估功能点",'模板使用说明&amp;基础参数'!$E$17,'模板使用说明&amp;基础参数'!$E$24),IF(I7="EO",IF($C$1="预估功能点",'模板使用说明&amp;基础参数'!$E$18,'模板使用说明&amp;基础参数'!$E$25),IF(I7="EQ",IF($C$1="预估功能点",'模板使用说明&amp;基础参数'!$E$19,'模板使用说明&amp;基础参数'!$E$26),"")))))</f>
        <v/>
      </c>
      <c r="K7" s="74"/>
      <c r="L7" s="74"/>
      <c r="M7" s="75" t="str">
        <f>IF(J7="","",IF(K7="高",IF(L7="删除",J7*'模板使用说明&amp;基础参数'!$E$5*'模板使用说明&amp;基础参数'!$E$12,IF(L7="修改",J7*'模板使用说明&amp;基础参数'!$E$5*'模板使用说明&amp;基础参数'!$E$11,J7*'模板使用说明&amp;基础参数'!$E$5*'模板使用说明&amp;基础参数'!$E$10)),IF(K7="中",IF(L7="删除",J7*'模板使用说明&amp;基础参数'!$E$6*'模板使用说明&amp;基础参数'!$E$12,IF(L7="修改",J7*'模板使用说明&amp;基础参数'!$E$6*'模板使用说明&amp;基础参数'!$E$11,J7*'模板使用说明&amp;基础参数'!$E$6*'模板使用说明&amp;基础参数'!$E$10)),IF(L7="删除",J7*'模板使用说明&amp;基础参数'!$E$7*'模板使用说明&amp;基础参数'!$E$12,IF(L7="修改",J7*'模板使用说明&amp;基础参数'!$E$7*'模板使用说明&amp;基础参数'!$E$11,J7*'模板使用说明&amp;基础参数'!$E$7*'模板使用说明&amp;基础参数'!$E$10)))))</f>
        <v/>
      </c>
      <c r="N7" s="76"/>
    </row>
    <row r="8" spans="1:14">
      <c r="A8" s="66">
        <f t="shared" si="0"/>
        <v>3</v>
      </c>
      <c r="B8" s="67"/>
      <c r="C8" s="67"/>
      <c r="D8" s="67"/>
      <c r="E8" s="67"/>
      <c r="F8" s="67"/>
      <c r="G8" s="67"/>
      <c r="H8" s="67"/>
      <c r="I8" s="66"/>
      <c r="J8" s="8" t="str">
        <f>IF(I8="ILF",IF($C$1="预估功能点",'模板使用说明&amp;基础参数'!$E$15,'模板使用说明&amp;基础参数'!$E$22),IF(I8="EIF",IF($C$1="预估功能点",'模板使用说明&amp;基础参数'!$E$16,'模板使用说明&amp;基础参数'!$E$23),IF(I8="EI",IF($C$1="预估功能点",'模板使用说明&amp;基础参数'!$E$17,'模板使用说明&amp;基础参数'!$E$24),IF(I8="EO",IF($C$1="预估功能点",'模板使用说明&amp;基础参数'!$E$18,'模板使用说明&amp;基础参数'!$E$25),IF(I8="EQ",IF($C$1="预估功能点",'模板使用说明&amp;基础参数'!$E$19,'模板使用说明&amp;基础参数'!$E$26),"")))))</f>
        <v/>
      </c>
      <c r="K8" s="74"/>
      <c r="L8" s="74"/>
      <c r="M8" s="75" t="str">
        <f>IF(J8="","",IF(K8="高",IF(L8="删除",J8*'模板使用说明&amp;基础参数'!$E$5*'模板使用说明&amp;基础参数'!$E$12,IF(L8="修改",J8*'模板使用说明&amp;基础参数'!$E$5*'模板使用说明&amp;基础参数'!$E$11,J8*'模板使用说明&amp;基础参数'!$E$5*'模板使用说明&amp;基础参数'!$E$10)),IF(K8="中",IF(L8="删除",J8*'模板使用说明&amp;基础参数'!$E$6*'模板使用说明&amp;基础参数'!$E$12,IF(L8="修改",J8*'模板使用说明&amp;基础参数'!$E$6*'模板使用说明&amp;基础参数'!$E$11,J8*'模板使用说明&amp;基础参数'!$E$6*'模板使用说明&amp;基础参数'!$E$10)),IF(L8="删除",J8*'模板使用说明&amp;基础参数'!$E$7*'模板使用说明&amp;基础参数'!$E$12,IF(L8="修改",J8*'模板使用说明&amp;基础参数'!$E$7*'模板使用说明&amp;基础参数'!$E$11,J8*'模板使用说明&amp;基础参数'!$E$7*'模板使用说明&amp;基础参数'!$E$10)))))</f>
        <v/>
      </c>
      <c r="N8" s="77"/>
    </row>
    <row r="9" spans="1:14">
      <c r="A9" s="66">
        <f t="shared" si="0"/>
        <v>4</v>
      </c>
      <c r="B9" s="67"/>
      <c r="C9" s="67"/>
      <c r="D9" s="67"/>
      <c r="E9" s="67"/>
      <c r="F9" s="67"/>
      <c r="G9" s="67"/>
      <c r="H9" s="67"/>
      <c r="I9" s="66"/>
      <c r="J9" s="8" t="str">
        <f>IF(I9="ILF",IF($C$1="预估功能点",'模板使用说明&amp;基础参数'!$E$15,'模板使用说明&amp;基础参数'!$E$22),IF(I9="EIF",IF($C$1="预估功能点",'模板使用说明&amp;基础参数'!$E$16,'模板使用说明&amp;基础参数'!$E$23),IF(I9="EI",IF($C$1="预估功能点",'模板使用说明&amp;基础参数'!$E$17,'模板使用说明&amp;基础参数'!$E$24),IF(I9="EO",IF($C$1="预估功能点",'模板使用说明&amp;基础参数'!$E$18,'模板使用说明&amp;基础参数'!$E$25),IF(I9="EQ",IF($C$1="预估功能点",'模板使用说明&amp;基础参数'!$E$19,'模板使用说明&amp;基础参数'!$E$26),"")))))</f>
        <v/>
      </c>
      <c r="K9" s="74"/>
      <c r="L9" s="74"/>
      <c r="M9" s="75" t="str">
        <f>IF(J9="","",IF(K9="高",IF(L9="删除",J9*'模板使用说明&amp;基础参数'!$E$5*'模板使用说明&amp;基础参数'!$E$12,IF(L9="修改",J9*'模板使用说明&amp;基础参数'!$E$5*'模板使用说明&amp;基础参数'!$E$11,J9*'模板使用说明&amp;基础参数'!$E$5*'模板使用说明&amp;基础参数'!$E$10)),IF(K9="中",IF(L9="删除",J9*'模板使用说明&amp;基础参数'!$E$6*'模板使用说明&amp;基础参数'!$E$12,IF(L9="修改",J9*'模板使用说明&amp;基础参数'!$E$6*'模板使用说明&amp;基础参数'!$E$11,J9*'模板使用说明&amp;基础参数'!$E$6*'模板使用说明&amp;基础参数'!$E$10)),IF(L9="删除",J9*'模板使用说明&amp;基础参数'!$E$7*'模板使用说明&amp;基础参数'!$E$12,IF(L9="修改",J9*'模板使用说明&amp;基础参数'!$E$7*'模板使用说明&amp;基础参数'!$E$11,J9*'模板使用说明&amp;基础参数'!$E$7*'模板使用说明&amp;基础参数'!$E$10)))))</f>
        <v/>
      </c>
      <c r="N9" s="77"/>
    </row>
    <row r="10" spans="1:14">
      <c r="A10" s="66">
        <f t="shared" si="0"/>
        <v>5</v>
      </c>
      <c r="B10" s="67"/>
      <c r="C10" s="67"/>
      <c r="D10" s="67"/>
      <c r="E10" s="67"/>
      <c r="F10" s="67"/>
      <c r="G10" s="67"/>
      <c r="H10" s="67"/>
      <c r="I10" s="66"/>
      <c r="J10" s="8" t="str">
        <f>IF(I10="ILF",IF($C$1="预估功能点",'模板使用说明&amp;基础参数'!$E$15,'模板使用说明&amp;基础参数'!$E$22),IF(I10="EIF",IF($C$1="预估功能点",'模板使用说明&amp;基础参数'!$E$16,'模板使用说明&amp;基础参数'!$E$23),IF(I10="EI",IF($C$1="预估功能点",'模板使用说明&amp;基础参数'!$E$17,'模板使用说明&amp;基础参数'!$E$24),IF(I10="EO",IF($C$1="预估功能点",'模板使用说明&amp;基础参数'!$E$18,'模板使用说明&amp;基础参数'!$E$25),IF(I10="EQ",IF($C$1="预估功能点",'模板使用说明&amp;基础参数'!$E$19,'模板使用说明&amp;基础参数'!$E$26),"")))))</f>
        <v/>
      </c>
      <c r="K10" s="74"/>
      <c r="L10" s="74"/>
      <c r="M10" s="75" t="str">
        <f>IF(J10="","",IF(K10="高",IF(L10="删除",J10*'模板使用说明&amp;基础参数'!$E$5*'模板使用说明&amp;基础参数'!$E$12,IF(L10="修改",J10*'模板使用说明&amp;基础参数'!$E$5*'模板使用说明&amp;基础参数'!$E$11,J10*'模板使用说明&amp;基础参数'!$E$5*'模板使用说明&amp;基础参数'!$E$10)),IF(K10="中",IF(L10="删除",J10*'模板使用说明&amp;基础参数'!$E$6*'模板使用说明&amp;基础参数'!$E$12,IF(L10="修改",J10*'模板使用说明&amp;基础参数'!$E$6*'模板使用说明&amp;基础参数'!$E$11,J10*'模板使用说明&amp;基础参数'!$E$6*'模板使用说明&amp;基础参数'!$E$10)),IF(L10="删除",J10*'模板使用说明&amp;基础参数'!$E$7*'模板使用说明&amp;基础参数'!$E$12,IF(L10="修改",J10*'模板使用说明&amp;基础参数'!$E$7*'模板使用说明&amp;基础参数'!$E$11,J10*'模板使用说明&amp;基础参数'!$E$7*'模板使用说明&amp;基础参数'!$E$10)))))</f>
        <v/>
      </c>
      <c r="N10" s="77"/>
    </row>
    <row r="11" spans="1:14">
      <c r="A11" s="66">
        <f t="shared" si="0"/>
        <v>6</v>
      </c>
      <c r="B11" s="67"/>
      <c r="C11" s="67"/>
      <c r="D11" s="67"/>
      <c r="E11" s="67"/>
      <c r="F11" s="67"/>
      <c r="G11" s="67"/>
      <c r="H11" s="67"/>
      <c r="I11" s="66"/>
      <c r="J11" s="8" t="str">
        <f>IF(I11="ILF",IF($C$1="预估功能点",'模板使用说明&amp;基础参数'!$E$15,'模板使用说明&amp;基础参数'!$E$22),IF(I11="EIF",IF($C$1="预估功能点",'模板使用说明&amp;基础参数'!$E$16,'模板使用说明&amp;基础参数'!$E$23),IF(I11="EI",IF($C$1="预估功能点",'模板使用说明&amp;基础参数'!$E$17,'模板使用说明&amp;基础参数'!$E$24),IF(I11="EO",IF($C$1="预估功能点",'模板使用说明&amp;基础参数'!$E$18,'模板使用说明&amp;基础参数'!$E$25),IF(I11="EQ",IF($C$1="预估功能点",'模板使用说明&amp;基础参数'!$E$19,'模板使用说明&amp;基础参数'!$E$26),"")))))</f>
        <v/>
      </c>
      <c r="K11" s="74"/>
      <c r="L11" s="74"/>
      <c r="M11" s="75" t="str">
        <f>IF(J11="","",IF(K11="高",IF(L11="删除",J11*'模板使用说明&amp;基础参数'!$E$5*'模板使用说明&amp;基础参数'!$E$12,IF(L11="修改",J11*'模板使用说明&amp;基础参数'!$E$5*'模板使用说明&amp;基础参数'!$E$11,J11*'模板使用说明&amp;基础参数'!$E$5*'模板使用说明&amp;基础参数'!$E$10)),IF(K11="中",IF(L11="删除",J11*'模板使用说明&amp;基础参数'!$E$6*'模板使用说明&amp;基础参数'!$E$12,IF(L11="修改",J11*'模板使用说明&amp;基础参数'!$E$6*'模板使用说明&amp;基础参数'!$E$11,J11*'模板使用说明&amp;基础参数'!$E$6*'模板使用说明&amp;基础参数'!$E$10)),IF(L11="删除",J11*'模板使用说明&amp;基础参数'!$E$7*'模板使用说明&amp;基础参数'!$E$12,IF(L11="修改",J11*'模板使用说明&amp;基础参数'!$E$7*'模板使用说明&amp;基础参数'!$E$11,J11*'模板使用说明&amp;基础参数'!$E$7*'模板使用说明&amp;基础参数'!$E$10)))))</f>
        <v/>
      </c>
      <c r="N11" s="77"/>
    </row>
    <row r="12" spans="1:14">
      <c r="A12" s="66">
        <f t="shared" si="0"/>
        <v>7</v>
      </c>
      <c r="B12" s="67"/>
      <c r="C12" s="67"/>
      <c r="D12" s="67"/>
      <c r="E12" s="67"/>
      <c r="F12" s="67"/>
      <c r="G12" s="67"/>
      <c r="H12" s="67"/>
      <c r="I12" s="66"/>
      <c r="J12" s="8" t="str">
        <f>IF(I12="ILF",IF($C$1="预估功能点",'模板使用说明&amp;基础参数'!$E$15,'模板使用说明&amp;基础参数'!$E$22),IF(I12="EIF",IF($C$1="预估功能点",'模板使用说明&amp;基础参数'!$E$16,'模板使用说明&amp;基础参数'!$E$23),IF(I12="EI",IF($C$1="预估功能点",'模板使用说明&amp;基础参数'!$E$17,'模板使用说明&amp;基础参数'!$E$24),IF(I12="EO",IF($C$1="预估功能点",'模板使用说明&amp;基础参数'!$E$18,'模板使用说明&amp;基础参数'!$E$25),IF(I12="EQ",IF($C$1="预估功能点",'模板使用说明&amp;基础参数'!$E$19,'模板使用说明&amp;基础参数'!$E$26),"")))))</f>
        <v/>
      </c>
      <c r="K12" s="74"/>
      <c r="L12" s="74"/>
      <c r="M12" s="75" t="str">
        <f>IF(J12="","",IF(K12="高",IF(L12="删除",J12*'模板使用说明&amp;基础参数'!$E$5*'模板使用说明&amp;基础参数'!$E$12,IF(L12="修改",J12*'模板使用说明&amp;基础参数'!$E$5*'模板使用说明&amp;基础参数'!$E$11,J12*'模板使用说明&amp;基础参数'!$E$5*'模板使用说明&amp;基础参数'!$E$10)),IF(K12="中",IF(L12="删除",J12*'模板使用说明&amp;基础参数'!$E$6*'模板使用说明&amp;基础参数'!$E$12,IF(L12="修改",J12*'模板使用说明&amp;基础参数'!$E$6*'模板使用说明&amp;基础参数'!$E$11,J12*'模板使用说明&amp;基础参数'!$E$6*'模板使用说明&amp;基础参数'!$E$10)),IF(L12="删除",J12*'模板使用说明&amp;基础参数'!$E$7*'模板使用说明&amp;基础参数'!$E$12,IF(L12="修改",J12*'模板使用说明&amp;基础参数'!$E$7*'模板使用说明&amp;基础参数'!$E$11,J12*'模板使用说明&amp;基础参数'!$E$7*'模板使用说明&amp;基础参数'!$E$10)))))</f>
        <v/>
      </c>
      <c r="N12" s="76"/>
    </row>
    <row r="13" spans="1:14">
      <c r="A13" s="66">
        <f t="shared" si="0"/>
        <v>8</v>
      </c>
      <c r="B13" s="67"/>
      <c r="C13" s="67"/>
      <c r="D13" s="67"/>
      <c r="E13" s="67"/>
      <c r="F13" s="67"/>
      <c r="G13" s="67"/>
      <c r="H13" s="67"/>
      <c r="I13" s="66"/>
      <c r="J13" s="8" t="str">
        <f>IF(I13="ILF",IF($C$1="预估功能点",'模板使用说明&amp;基础参数'!$E$15,'模板使用说明&amp;基础参数'!$E$22),IF(I13="EIF",IF($C$1="预估功能点",'模板使用说明&amp;基础参数'!$E$16,'模板使用说明&amp;基础参数'!$E$23),IF(I13="EI",IF($C$1="预估功能点",'模板使用说明&amp;基础参数'!$E$17,'模板使用说明&amp;基础参数'!$E$24),IF(I13="EO",IF($C$1="预估功能点",'模板使用说明&amp;基础参数'!$E$18,'模板使用说明&amp;基础参数'!$E$25),IF(I13="EQ",IF($C$1="预估功能点",'模板使用说明&amp;基础参数'!$E$19,'模板使用说明&amp;基础参数'!$E$26),"")))))</f>
        <v/>
      </c>
      <c r="K13" s="74"/>
      <c r="L13" s="74"/>
      <c r="M13" s="75" t="str">
        <f>IF(J13="","",IF(K13="高",IF(L13="删除",J13*'模板使用说明&amp;基础参数'!$E$5*'模板使用说明&amp;基础参数'!$E$12,IF(L13="修改",J13*'模板使用说明&amp;基础参数'!$E$5*'模板使用说明&amp;基础参数'!$E$11,J13*'模板使用说明&amp;基础参数'!$E$5*'模板使用说明&amp;基础参数'!$E$10)),IF(K13="中",IF(L13="删除",J13*'模板使用说明&amp;基础参数'!$E$6*'模板使用说明&amp;基础参数'!$E$12,IF(L13="修改",J13*'模板使用说明&amp;基础参数'!$E$6*'模板使用说明&amp;基础参数'!$E$11,J13*'模板使用说明&amp;基础参数'!$E$6*'模板使用说明&amp;基础参数'!$E$10)),IF(L13="删除",J13*'模板使用说明&amp;基础参数'!$E$7*'模板使用说明&amp;基础参数'!$E$12,IF(L13="修改",J13*'模板使用说明&amp;基础参数'!$E$7*'模板使用说明&amp;基础参数'!$E$11,J13*'模板使用说明&amp;基础参数'!$E$7*'模板使用说明&amp;基础参数'!$E$10)))))</f>
        <v/>
      </c>
      <c r="N13" s="76"/>
    </row>
    <row r="14" spans="1:14">
      <c r="A14" s="66">
        <f t="shared" si="0"/>
        <v>9</v>
      </c>
      <c r="B14" s="67"/>
      <c r="C14" s="67"/>
      <c r="D14" s="67"/>
      <c r="E14" s="68"/>
      <c r="F14" s="68"/>
      <c r="G14" s="68"/>
      <c r="H14" s="68"/>
      <c r="I14" s="66"/>
      <c r="J14" s="8" t="str">
        <f>IF(I14="ILF",IF($C$1="预估功能点",'模板使用说明&amp;基础参数'!$E$15,'模板使用说明&amp;基础参数'!$E$22),IF(I14="EIF",IF($C$1="预估功能点",'模板使用说明&amp;基础参数'!$E$16,'模板使用说明&amp;基础参数'!$E$23),IF(I14="EI",IF($C$1="预估功能点",'模板使用说明&amp;基础参数'!$E$17,'模板使用说明&amp;基础参数'!$E$24),IF(I14="EO",IF($C$1="预估功能点",'模板使用说明&amp;基础参数'!$E$18,'模板使用说明&amp;基础参数'!$E$25),IF(I14="EQ",IF($C$1="预估功能点",'模板使用说明&amp;基础参数'!$E$19,'模板使用说明&amp;基础参数'!$E$26),"")))))</f>
        <v/>
      </c>
      <c r="K14" s="74"/>
      <c r="L14" s="74"/>
      <c r="M14" s="75" t="str">
        <f>IF(J14="","",IF(K14="高",IF(L14="删除",J14*'模板使用说明&amp;基础参数'!$E$5*'模板使用说明&amp;基础参数'!$E$12,IF(L14="修改",J14*'模板使用说明&amp;基础参数'!$E$5*'模板使用说明&amp;基础参数'!$E$11,J14*'模板使用说明&amp;基础参数'!$E$5*'模板使用说明&amp;基础参数'!$E$10)),IF(K14="中",IF(L14="删除",J14*'模板使用说明&amp;基础参数'!$E$6*'模板使用说明&amp;基础参数'!$E$12,IF(L14="修改",J14*'模板使用说明&amp;基础参数'!$E$6*'模板使用说明&amp;基础参数'!$E$11,J14*'模板使用说明&amp;基础参数'!$E$6*'模板使用说明&amp;基础参数'!$E$10)),IF(L14="删除",J14*'模板使用说明&amp;基础参数'!$E$7*'模板使用说明&amp;基础参数'!$E$12,IF(L14="修改",J14*'模板使用说明&amp;基础参数'!$E$7*'模板使用说明&amp;基础参数'!$E$11,J14*'模板使用说明&amp;基础参数'!$E$7*'模板使用说明&amp;基础参数'!$E$10)))))</f>
        <v/>
      </c>
      <c r="N14" s="76"/>
    </row>
    <row r="15" spans="1:15">
      <c r="A15" s="66">
        <f t="shared" si="0"/>
        <v>10</v>
      </c>
      <c r="B15" s="67"/>
      <c r="C15" s="67"/>
      <c r="D15" s="67"/>
      <c r="E15" s="68"/>
      <c r="F15" s="68"/>
      <c r="G15" s="68"/>
      <c r="H15" s="68"/>
      <c r="I15" s="68"/>
      <c r="J15" s="8" t="str">
        <f>IF(I15="ILF",IF($C$1="预估功能点",'模板使用说明&amp;基础参数'!$E$15,'模板使用说明&amp;基础参数'!$E$22),IF(I15="EIF",IF($C$1="预估功能点",'模板使用说明&amp;基础参数'!$E$16,'模板使用说明&amp;基础参数'!$E$23),IF(I15="EI",IF($C$1="预估功能点",'模板使用说明&amp;基础参数'!$E$17,'模板使用说明&amp;基础参数'!$E$24),IF(I15="EO",IF($C$1="预估功能点",'模板使用说明&amp;基础参数'!$E$18,'模板使用说明&amp;基础参数'!$E$25),IF(I15="EQ",IF($C$1="预估功能点",'模板使用说明&amp;基础参数'!$E$19,'模板使用说明&amp;基础参数'!$E$26),"")))))</f>
        <v/>
      </c>
      <c r="K15" s="74"/>
      <c r="L15" s="74"/>
      <c r="M15" s="75" t="str">
        <f>IF(J15="","",IF(K15="高",IF(L15="删除",J15*'模板使用说明&amp;基础参数'!$E$5*'模板使用说明&amp;基础参数'!$E$12,IF(L15="修改",J15*'模板使用说明&amp;基础参数'!$E$5*'模板使用说明&amp;基础参数'!$E$11,J15*'模板使用说明&amp;基础参数'!$E$5*'模板使用说明&amp;基础参数'!$E$10)),IF(K15="中",IF(L15="删除",J15*'模板使用说明&amp;基础参数'!$E$6*'模板使用说明&amp;基础参数'!$E$12,IF(L15="修改",J15*'模板使用说明&amp;基础参数'!$E$6*'模板使用说明&amp;基础参数'!$E$11,J15*'模板使用说明&amp;基础参数'!$E$6*'模板使用说明&amp;基础参数'!$E$10)),IF(L15="删除",J15*'模板使用说明&amp;基础参数'!$E$7*'模板使用说明&amp;基础参数'!$E$12,IF(L15="修改",J15*'模板使用说明&amp;基础参数'!$E$7*'模板使用说明&amp;基础参数'!$E$11,J15*'模板使用说明&amp;基础参数'!$E$7*'模板使用说明&amp;基础参数'!$E$10)))))</f>
        <v/>
      </c>
      <c r="N15" s="76"/>
      <c r="O15"/>
    </row>
    <row r="16" spans="1:15">
      <c r="A16" s="59" t="s">
        <v>49</v>
      </c>
      <c r="B16" s="59"/>
      <c r="C16" s="59"/>
      <c r="D16" s="59"/>
      <c r="E16" s="59"/>
      <c r="F16" s="69"/>
      <c r="G16" s="69"/>
      <c r="H16" s="59"/>
      <c r="I16" s="59"/>
      <c r="J16" s="78">
        <f>SUM(J6:J14)</f>
        <v>0</v>
      </c>
      <c r="K16" s="79"/>
      <c r="L16" s="79"/>
      <c r="M16" s="75">
        <f>SUM(M6:M14)</f>
        <v>0</v>
      </c>
      <c r="N16" s="80"/>
      <c r="O16"/>
    </row>
  </sheetData>
  <mergeCells count="9">
    <mergeCell ref="A1:B1"/>
    <mergeCell ref="D1:N1"/>
    <mergeCell ref="A2:B2"/>
    <mergeCell ref="D2:N2"/>
    <mergeCell ref="A3:B3"/>
    <mergeCell ref="D3:N3"/>
    <mergeCell ref="A4:N4"/>
    <mergeCell ref="A16:I16"/>
    <mergeCell ref="K16:L16"/>
  </mergeCells>
  <dataValidations count="4">
    <dataValidation type="list" allowBlank="1" showInputMessage="1" showErrorMessage="1" sqref="C1">
      <formula1>"预估功能点,估算功能点"</formula1>
    </dataValidation>
    <dataValidation type="list" allowBlank="1" showInputMessage="1" showErrorMessage="1" sqref="I6:I14">
      <formula1>"ILF,EIF,EI,EO,EQ"</formula1>
    </dataValidation>
    <dataValidation type="list" allowBlank="1" showInputMessage="1" showErrorMessage="1" sqref="K6:K15">
      <formula1>"高,中,低"</formula1>
    </dataValidation>
    <dataValidation type="list" allowBlank="1" showInputMessage="1" showErrorMessage="1" sqref="L6:L15">
      <formula1>"新增,修改,删除"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F17" sqref="F17"/>
    </sheetView>
  </sheetViews>
  <sheetFormatPr defaultColWidth="9" defaultRowHeight="14" outlineLevelCol="7"/>
  <cols>
    <col min="1" max="1" width="10.6583333333333" style="19" customWidth="1"/>
    <col min="2" max="2" width="22.6583333333333" style="19" customWidth="1"/>
    <col min="3" max="3" width="15.0833333333333" style="20" customWidth="1"/>
    <col min="4" max="4" width="78.9083333333333" style="19" customWidth="1"/>
    <col min="5" max="5" width="7.75" style="19" customWidth="1"/>
    <col min="6" max="16384" width="9" style="19"/>
  </cols>
  <sheetData>
    <row r="1" customHeight="1" spans="1:4">
      <c r="A1" s="21" t="s">
        <v>50</v>
      </c>
      <c r="B1" s="22"/>
      <c r="C1" s="23">
        <f>规模估算!M16</f>
        <v>0</v>
      </c>
      <c r="D1" s="24" t="s">
        <v>51</v>
      </c>
    </row>
    <row r="2" customHeight="1" spans="1:4">
      <c r="A2" s="21" t="s">
        <v>52</v>
      </c>
      <c r="B2" s="22"/>
      <c r="C2" s="23">
        <f>项目特征!D1</f>
        <v>1.39</v>
      </c>
      <c r="D2" s="24" t="str">
        <f>项目特征!C1</f>
        <v>估算早期</v>
      </c>
    </row>
    <row r="3" customHeight="1" spans="1:4">
      <c r="A3" s="25" t="s">
        <v>53</v>
      </c>
      <c r="B3" s="26"/>
      <c r="C3" s="27">
        <f>C1*C2</f>
        <v>0</v>
      </c>
      <c r="D3" s="28" t="s">
        <v>34</v>
      </c>
    </row>
    <row r="4" customHeight="1" spans="1:4">
      <c r="A4" s="29" t="s">
        <v>54</v>
      </c>
      <c r="B4" s="30"/>
      <c r="C4" s="31">
        <f>C5*0.8</f>
        <v>6.304</v>
      </c>
      <c r="D4" s="24" t="s">
        <v>55</v>
      </c>
    </row>
    <row r="5" customHeight="1" spans="1:4">
      <c r="A5" s="32"/>
      <c r="B5" s="33"/>
      <c r="C5" s="31">
        <v>7.88</v>
      </c>
      <c r="D5" s="24" t="s">
        <v>56</v>
      </c>
    </row>
    <row r="6" customHeight="1" spans="1:4">
      <c r="A6" s="34"/>
      <c r="B6" s="35"/>
      <c r="C6" s="31">
        <f>C5*1.2</f>
        <v>9.456</v>
      </c>
      <c r="D6" s="24" t="s">
        <v>57</v>
      </c>
    </row>
    <row r="7" customHeight="1" spans="1:7">
      <c r="A7" s="36" t="s">
        <v>58</v>
      </c>
      <c r="B7" s="37"/>
      <c r="C7" s="23">
        <f>C3*C4/8</f>
        <v>0</v>
      </c>
      <c r="D7" s="28" t="s">
        <v>55</v>
      </c>
      <c r="G7" s="38"/>
    </row>
    <row r="8" customHeight="1" spans="1:7">
      <c r="A8" s="39"/>
      <c r="B8" s="40"/>
      <c r="C8" s="23">
        <f>C3*C5/8</f>
        <v>0</v>
      </c>
      <c r="D8" s="28" t="s">
        <v>59</v>
      </c>
      <c r="G8" s="38"/>
    </row>
    <row r="9" customHeight="1" spans="1:7">
      <c r="A9" s="41"/>
      <c r="B9" s="42"/>
      <c r="C9" s="23">
        <f>C3*C6/8</f>
        <v>0</v>
      </c>
      <c r="D9" s="28" t="s">
        <v>57</v>
      </c>
      <c r="G9" s="38"/>
    </row>
    <row r="10" customHeight="1" spans="1:8">
      <c r="A10" s="43" t="s">
        <v>60</v>
      </c>
      <c r="B10" s="22" t="s">
        <v>4</v>
      </c>
      <c r="C10" s="23">
        <f>项目特征!D2</f>
        <v>1</v>
      </c>
      <c r="D10" s="24" t="str">
        <f>IFERROR(项目特征!C2&amp;":"&amp;VLOOKUP(项目特征!C2,'模板使用说明&amp;基础参数'!$G$10:$H$16,2,FALSE),"")</f>
        <v>业务处理:办公自动化系统；人事、会计、工资、销售等经营管理及业务处理用软件等</v>
      </c>
      <c r="H10"/>
    </row>
    <row r="11" customHeight="1" spans="1:4">
      <c r="A11" s="44"/>
      <c r="B11" s="22" t="s">
        <v>61</v>
      </c>
      <c r="C11" s="45">
        <f ca="1">1+0.025*SUM(项目特征!D3:项目特征!D6)</f>
        <v>1.025</v>
      </c>
      <c r="D11" s="24" t="str">
        <f>IFERROR(B11&amp;"=("&amp;项目特征!B3&amp;项目特征!D3&amp;"+"&amp;项目特征!B4&amp;项目特征!D4&amp;"+"&amp;项目特征!B5&amp;项目特征!D5&amp;"+"&amp;项目特征!B6&amp;项目特征!D6&amp;")*0.025+1","")</f>
        <v>非功能性特征=(分布式处理0+性能1+可靠性0+多重站点0)*0.025+1</v>
      </c>
    </row>
    <row r="12" customHeight="1" spans="1:4">
      <c r="A12" s="44"/>
      <c r="B12" s="22" t="s">
        <v>20</v>
      </c>
      <c r="C12" s="23">
        <f>项目特征!D7</f>
        <v>1.3</v>
      </c>
      <c r="D12" s="24" t="str">
        <f>项目特征!C7</f>
        <v>完整性级别为A同时为达成完整性级别要求在软件开发全生命周期均采取了特定、明确的措施</v>
      </c>
    </row>
    <row r="13" customHeight="1" spans="1:4">
      <c r="A13" s="44"/>
      <c r="B13" s="22" t="s">
        <v>23</v>
      </c>
      <c r="C13" s="23">
        <f>项目特征!D8</f>
        <v>1</v>
      </c>
      <c r="D13" s="24" t="str">
        <f>项目特征!C8</f>
        <v>JAVA、C++、C#及其他同级别语言/平台</v>
      </c>
    </row>
    <row r="14" customHeight="1" spans="1:4">
      <c r="A14" s="44"/>
      <c r="B14" s="22" t="s">
        <v>25</v>
      </c>
      <c r="C14" s="23">
        <f>项目特征!D9</f>
        <v>0.8</v>
      </c>
      <c r="D14" s="24" t="str">
        <f>项目特征!C9</f>
        <v>为本行业开发过类似的项目</v>
      </c>
    </row>
    <row r="15" ht="15" customHeight="1" spans="1:4">
      <c r="A15" s="44"/>
      <c r="B15" s="22" t="s">
        <v>27</v>
      </c>
      <c r="C15" s="23">
        <f>项目特征!D10</f>
        <v>1</v>
      </c>
      <c r="D15" s="28" t="str">
        <f>项目特征!C10</f>
        <v>常规开发</v>
      </c>
    </row>
    <row r="16" ht="15" customHeight="1" spans="1:4">
      <c r="A16" s="36" t="s">
        <v>62</v>
      </c>
      <c r="B16" s="37"/>
      <c r="C16" s="46">
        <f ca="1">C7*C10*C11*C12*C13*C14*C15</f>
        <v>0</v>
      </c>
      <c r="D16" s="28" t="s">
        <v>55</v>
      </c>
    </row>
    <row r="17" customHeight="1" spans="1:4">
      <c r="A17" s="39"/>
      <c r="B17" s="40"/>
      <c r="C17" s="47">
        <f ca="1">C8*C10*C11*C12*C13*C14*C15</f>
        <v>0</v>
      </c>
      <c r="D17" s="28" t="s">
        <v>59</v>
      </c>
    </row>
    <row r="18" customHeight="1" spans="1:4">
      <c r="A18" s="41"/>
      <c r="B18" s="42"/>
      <c r="C18" s="46">
        <f ca="1">C9*C10*C11*C12*C13*C14*C15</f>
        <v>0</v>
      </c>
      <c r="D18" s="28" t="s">
        <v>57</v>
      </c>
    </row>
    <row r="19" customHeight="1" spans="1:4">
      <c r="A19" s="21" t="s">
        <v>63</v>
      </c>
      <c r="B19" s="22"/>
      <c r="C19" s="48">
        <v>2.5</v>
      </c>
      <c r="D19" s="24" t="s">
        <v>64</v>
      </c>
    </row>
    <row r="20" customHeight="1" spans="1:4">
      <c r="A20" s="49" t="s">
        <v>65</v>
      </c>
      <c r="B20" s="37"/>
      <c r="C20" s="46">
        <f ca="1">C16*C19/21.75</f>
        <v>0</v>
      </c>
      <c r="D20" s="28" t="s">
        <v>55</v>
      </c>
    </row>
    <row r="21" customHeight="1" spans="1:4">
      <c r="A21" s="39"/>
      <c r="B21" s="40"/>
      <c r="C21" s="47">
        <f ca="1">C17*C19/21.75</f>
        <v>0</v>
      </c>
      <c r="D21" s="28" t="s">
        <v>59</v>
      </c>
    </row>
    <row r="22" customHeight="1" spans="1:4">
      <c r="A22" s="41"/>
      <c r="B22" s="42"/>
      <c r="C22" s="46">
        <f ca="1">C18*C19/21.75</f>
        <v>0</v>
      </c>
      <c r="D22" s="28" t="s">
        <v>57</v>
      </c>
    </row>
  </sheetData>
  <mergeCells count="9">
    <mergeCell ref="A1:B1"/>
    <mergeCell ref="A2:B2"/>
    <mergeCell ref="A3:B3"/>
    <mergeCell ref="A19:B19"/>
    <mergeCell ref="A10:A15"/>
    <mergeCell ref="A4:B6"/>
    <mergeCell ref="A7:B9"/>
    <mergeCell ref="A20:B22"/>
    <mergeCell ref="A16:B18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57"/>
  <sheetViews>
    <sheetView topLeftCell="C27" workbookViewId="0">
      <selection activeCell="D35" sqref="D35"/>
    </sheetView>
  </sheetViews>
  <sheetFormatPr defaultColWidth="9" defaultRowHeight="14"/>
  <cols>
    <col min="1" max="2" width="10.75" style="1" customWidth="1"/>
    <col min="3" max="3" width="20.75" style="1" customWidth="1"/>
    <col min="4" max="4" width="10.75" style="1" customWidth="1"/>
    <col min="5" max="5" width="15.75" style="1" customWidth="1"/>
    <col min="6" max="7" width="10.75" style="1" customWidth="1"/>
    <col min="8" max="8" width="60.75" style="1" customWidth="1"/>
    <col min="9" max="9" width="10.75" style="1" customWidth="1"/>
    <col min="10" max="10" width="6.65833333333333" style="1" customWidth="1"/>
    <col min="11" max="11" width="9" style="1" customWidth="1"/>
    <col min="12" max="16384" width="9" style="1"/>
  </cols>
  <sheetData>
    <row r="2" spans="1:1">
      <c r="A2" s="1" t="s">
        <v>66</v>
      </c>
    </row>
    <row r="3" spans="1:1">
      <c r="A3" s="1" t="s">
        <v>67</v>
      </c>
    </row>
    <row r="4" spans="1:5">
      <c r="A4" s="2" t="s">
        <v>68</v>
      </c>
      <c r="B4" s="1" t="s">
        <v>69</v>
      </c>
      <c r="D4" s="3" t="s">
        <v>70</v>
      </c>
      <c r="E4" s="4"/>
    </row>
    <row r="5" spans="1:5">
      <c r="A5" s="5" t="s">
        <v>71</v>
      </c>
      <c r="B5" s="1" t="s">
        <v>72</v>
      </c>
      <c r="D5" s="6" t="s">
        <v>73</v>
      </c>
      <c r="E5" s="7">
        <v>0.333333333333333</v>
      </c>
    </row>
    <row r="6" spans="1:5">
      <c r="A6" s="8" t="s">
        <v>74</v>
      </c>
      <c r="B6" s="1" t="s">
        <v>75</v>
      </c>
      <c r="D6" s="6" t="s">
        <v>76</v>
      </c>
      <c r="E6" s="7">
        <v>0.666666666666667</v>
      </c>
    </row>
    <row r="7" spans="1:5">
      <c r="A7" s="9" t="s">
        <v>77</v>
      </c>
      <c r="B7" s="1" t="s">
        <v>78</v>
      </c>
      <c r="D7" s="6" t="s">
        <v>79</v>
      </c>
      <c r="E7" s="7">
        <v>1</v>
      </c>
    </row>
    <row r="8" spans="5:5">
      <c r="E8" s="10"/>
    </row>
    <row r="9" spans="4:9">
      <c r="D9" s="3" t="s">
        <v>80</v>
      </c>
      <c r="E9" s="4"/>
      <c r="G9" s="11" t="s">
        <v>4</v>
      </c>
      <c r="H9" s="11" t="s">
        <v>81</v>
      </c>
      <c r="I9" s="11" t="s">
        <v>60</v>
      </c>
    </row>
    <row r="10" ht="28" spans="4:9">
      <c r="D10" s="6" t="s">
        <v>82</v>
      </c>
      <c r="E10" s="7">
        <v>1</v>
      </c>
      <c r="G10" s="12" t="s">
        <v>5</v>
      </c>
      <c r="H10" s="13" t="s">
        <v>83</v>
      </c>
      <c r="I10" s="17">
        <v>1</v>
      </c>
    </row>
    <row r="11" spans="4:9">
      <c r="D11" s="6" t="s">
        <v>84</v>
      </c>
      <c r="E11" s="7">
        <v>0.8</v>
      </c>
      <c r="G11" s="12" t="s">
        <v>85</v>
      </c>
      <c r="H11" s="13" t="s">
        <v>86</v>
      </c>
      <c r="I11" s="17">
        <v>1.2</v>
      </c>
    </row>
    <row r="12" spans="4:9">
      <c r="D12" s="6" t="s">
        <v>87</v>
      </c>
      <c r="E12" s="7">
        <v>0.2</v>
      </c>
      <c r="G12" s="12" t="s">
        <v>88</v>
      </c>
      <c r="H12" s="13" t="s">
        <v>89</v>
      </c>
      <c r="I12" s="17">
        <v>1.3</v>
      </c>
    </row>
    <row r="13" spans="5:9">
      <c r="E13" s="10"/>
      <c r="G13" s="12" t="s">
        <v>90</v>
      </c>
      <c r="H13" s="14" t="s">
        <v>91</v>
      </c>
      <c r="I13" s="17">
        <v>1.5</v>
      </c>
    </row>
    <row r="14" ht="28" spans="4:9">
      <c r="D14" s="3" t="s">
        <v>92</v>
      </c>
      <c r="E14" s="4"/>
      <c r="G14" s="12" t="s">
        <v>93</v>
      </c>
      <c r="H14" s="13" t="s">
        <v>94</v>
      </c>
      <c r="I14" s="17">
        <v>1.7</v>
      </c>
    </row>
    <row r="15" spans="4:9">
      <c r="D15" s="6" t="s">
        <v>95</v>
      </c>
      <c r="E15" s="7">
        <v>35</v>
      </c>
      <c r="G15" s="12" t="s">
        <v>96</v>
      </c>
      <c r="H15" s="13" t="s">
        <v>97</v>
      </c>
      <c r="I15" s="17">
        <v>1.9</v>
      </c>
    </row>
    <row r="16" spans="4:9">
      <c r="D16" s="6" t="s">
        <v>98</v>
      </c>
      <c r="E16" s="7">
        <v>15</v>
      </c>
      <c r="G16" s="12" t="s">
        <v>99</v>
      </c>
      <c r="H16" s="13" t="s">
        <v>100</v>
      </c>
      <c r="I16" s="17">
        <v>2</v>
      </c>
    </row>
    <row r="17" spans="4:5">
      <c r="D17" s="6" t="s">
        <v>101</v>
      </c>
      <c r="E17" s="7"/>
    </row>
    <row r="18" spans="4:9">
      <c r="D18" s="6" t="s">
        <v>102</v>
      </c>
      <c r="E18" s="7"/>
      <c r="G18" s="11" t="s">
        <v>60</v>
      </c>
      <c r="H18" s="11" t="s">
        <v>103</v>
      </c>
      <c r="I18" s="11" t="s">
        <v>60</v>
      </c>
    </row>
    <row r="19" spans="4:9">
      <c r="D19" s="6" t="s">
        <v>104</v>
      </c>
      <c r="E19" s="7"/>
      <c r="G19" s="12" t="s">
        <v>8</v>
      </c>
      <c r="H19" s="13" t="s">
        <v>105</v>
      </c>
      <c r="I19" s="12">
        <v>-1</v>
      </c>
    </row>
    <row r="20" spans="5:9">
      <c r="E20" s="10"/>
      <c r="G20" s="12"/>
      <c r="H20" s="13" t="s">
        <v>9</v>
      </c>
      <c r="I20" s="12">
        <v>0</v>
      </c>
    </row>
    <row r="21" spans="4:9">
      <c r="D21" s="3" t="s">
        <v>30</v>
      </c>
      <c r="E21" s="4"/>
      <c r="G21" s="12"/>
      <c r="H21" s="13" t="s">
        <v>106</v>
      </c>
      <c r="I21" s="12">
        <v>1</v>
      </c>
    </row>
    <row r="22" spans="4:9">
      <c r="D22" s="6" t="s">
        <v>95</v>
      </c>
      <c r="E22" s="7">
        <v>10</v>
      </c>
      <c r="G22" s="12" t="s">
        <v>11</v>
      </c>
      <c r="H22" s="13" t="s">
        <v>107</v>
      </c>
      <c r="I22" s="12">
        <v>-1</v>
      </c>
    </row>
    <row r="23" ht="28" spans="4:9">
      <c r="D23" s="6" t="s">
        <v>98</v>
      </c>
      <c r="E23" s="7">
        <v>7</v>
      </c>
      <c r="G23" s="12"/>
      <c r="H23" s="13" t="s">
        <v>108</v>
      </c>
      <c r="I23" s="12">
        <v>0</v>
      </c>
    </row>
    <row r="24" ht="28" spans="4:9">
      <c r="D24" s="6" t="s">
        <v>101</v>
      </c>
      <c r="E24" s="7">
        <v>4</v>
      </c>
      <c r="G24" s="12"/>
      <c r="H24" s="13" t="s">
        <v>12</v>
      </c>
      <c r="I24" s="12">
        <v>1</v>
      </c>
    </row>
    <row r="25" spans="4:9">
      <c r="D25" s="6" t="s">
        <v>102</v>
      </c>
      <c r="E25" s="7">
        <v>5</v>
      </c>
      <c r="G25" s="12" t="s">
        <v>14</v>
      </c>
      <c r="H25" s="13" t="s">
        <v>109</v>
      </c>
      <c r="I25" s="12">
        <v>-1</v>
      </c>
    </row>
    <row r="26" spans="4:9">
      <c r="D26" s="6" t="s">
        <v>104</v>
      </c>
      <c r="E26" s="7">
        <v>4</v>
      </c>
      <c r="G26" s="12"/>
      <c r="H26" s="13" t="s">
        <v>15</v>
      </c>
      <c r="I26" s="12">
        <v>0</v>
      </c>
    </row>
    <row r="27" spans="7:9">
      <c r="G27" s="12"/>
      <c r="H27" s="13" t="s">
        <v>110</v>
      </c>
      <c r="I27" s="12">
        <v>1</v>
      </c>
    </row>
    <row r="28" spans="4:9">
      <c r="D28" s="3" t="s">
        <v>27</v>
      </c>
      <c r="E28" s="4"/>
      <c r="G28" s="12" t="s">
        <v>17</v>
      </c>
      <c r="H28" s="13" t="s">
        <v>111</v>
      </c>
      <c r="I28" s="12">
        <v>-1</v>
      </c>
    </row>
    <row r="29" spans="4:9">
      <c r="D29" s="6" t="s">
        <v>112</v>
      </c>
      <c r="E29" s="7">
        <v>0</v>
      </c>
      <c r="G29" s="12"/>
      <c r="H29" s="13" t="s">
        <v>18</v>
      </c>
      <c r="I29" s="12">
        <v>0</v>
      </c>
    </row>
    <row r="30" spans="4:9">
      <c r="D30" s="6" t="s">
        <v>113</v>
      </c>
      <c r="E30" s="7">
        <v>0.05</v>
      </c>
      <c r="G30" s="12"/>
      <c r="H30" s="13" t="s">
        <v>114</v>
      </c>
      <c r="I30" s="12">
        <v>1</v>
      </c>
    </row>
    <row r="33" spans="8:9">
      <c r="H33" s="11" t="s">
        <v>23</v>
      </c>
      <c r="I33" s="11" t="s">
        <v>60</v>
      </c>
    </row>
    <row r="34" spans="8:9">
      <c r="H34" s="15" t="s">
        <v>115</v>
      </c>
      <c r="I34" s="17">
        <v>1.2</v>
      </c>
    </row>
    <row r="35" spans="8:9">
      <c r="H35" s="15" t="s">
        <v>24</v>
      </c>
      <c r="I35" s="17">
        <v>1</v>
      </c>
    </row>
    <row r="36" spans="8:9">
      <c r="H36" s="15" t="s">
        <v>116</v>
      </c>
      <c r="I36" s="17">
        <v>0.8</v>
      </c>
    </row>
    <row r="39" spans="8:9">
      <c r="H39" s="11" t="s">
        <v>25</v>
      </c>
      <c r="I39" s="11" t="s">
        <v>60</v>
      </c>
    </row>
    <row r="40" spans="8:9">
      <c r="H40" s="15" t="s">
        <v>26</v>
      </c>
      <c r="I40" s="17">
        <v>0.8</v>
      </c>
    </row>
    <row r="41" spans="8:9">
      <c r="H41" s="15" t="s">
        <v>117</v>
      </c>
      <c r="I41" s="17">
        <v>1</v>
      </c>
    </row>
    <row r="42" spans="8:9">
      <c r="H42" s="15" t="s">
        <v>118</v>
      </c>
      <c r="I42" s="17">
        <v>1.2</v>
      </c>
    </row>
    <row r="44" spans="8:9">
      <c r="H44" s="11" t="s">
        <v>20</v>
      </c>
      <c r="I44" s="11" t="s">
        <v>60</v>
      </c>
    </row>
    <row r="45" spans="8:9">
      <c r="H45" s="15" t="s">
        <v>119</v>
      </c>
      <c r="I45" s="17">
        <v>1</v>
      </c>
    </row>
    <row r="46" spans="8:9">
      <c r="H46" s="15" t="s">
        <v>120</v>
      </c>
      <c r="I46" s="17">
        <v>1.1</v>
      </c>
    </row>
    <row r="47" ht="28" spans="8:9">
      <c r="H47" s="15" t="s">
        <v>21</v>
      </c>
      <c r="I47" s="17">
        <v>1.3</v>
      </c>
    </row>
    <row r="49" spans="8:9">
      <c r="H49" s="3" t="s">
        <v>121</v>
      </c>
      <c r="I49" s="4"/>
    </row>
    <row r="50" spans="8:9">
      <c r="H50" s="16" t="s">
        <v>1</v>
      </c>
      <c r="I50" s="18">
        <v>1.39</v>
      </c>
    </row>
    <row r="51" spans="8:9">
      <c r="H51" s="16" t="s">
        <v>122</v>
      </c>
      <c r="I51" s="18">
        <v>1.21</v>
      </c>
    </row>
    <row r="52" spans="8:9">
      <c r="H52" s="16" t="s">
        <v>123</v>
      </c>
      <c r="I52" s="18">
        <v>1.1</v>
      </c>
    </row>
    <row r="53" spans="8:9">
      <c r="H53" s="16" t="s">
        <v>124</v>
      </c>
      <c r="I53" s="18">
        <v>1</v>
      </c>
    </row>
    <row r="55" spans="8:9">
      <c r="H55" s="11" t="s">
        <v>25</v>
      </c>
      <c r="I55" s="11" t="s">
        <v>60</v>
      </c>
    </row>
    <row r="56" spans="8:9">
      <c r="H56" s="15" t="s">
        <v>28</v>
      </c>
      <c r="I56" s="17">
        <v>1</v>
      </c>
    </row>
    <row r="57" spans="8:9">
      <c r="H57" s="15" t="s">
        <v>125</v>
      </c>
      <c r="I57" s="17">
        <v>0.2</v>
      </c>
    </row>
  </sheetData>
  <mergeCells count="10">
    <mergeCell ref="D4:E4"/>
    <mergeCell ref="D9:E9"/>
    <mergeCell ref="D14:E14"/>
    <mergeCell ref="D21:E21"/>
    <mergeCell ref="D28:E28"/>
    <mergeCell ref="H49:I49"/>
    <mergeCell ref="G19:G21"/>
    <mergeCell ref="G22:G24"/>
    <mergeCell ref="G25:G27"/>
    <mergeCell ref="G28:G3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项目特征</vt:lpstr>
      <vt:lpstr>规模估算</vt:lpstr>
      <vt:lpstr>开发费用估算</vt:lpstr>
      <vt:lpstr>模板使用说明&amp;基础参数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开发费用评估</dc:subject>
  <cp:lastModifiedBy>心向阳光</cp:lastModifiedBy>
  <dcterms:created xsi:type="dcterms:W3CDTF">2015-06-07T10:19:00Z</dcterms:created>
  <dcterms:modified xsi:type="dcterms:W3CDTF">2026-05-26T06:17:17Z</dcterms:modified>
  <cp:category>模板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FB37B939636F489798FF3F0BCAF36F55_13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